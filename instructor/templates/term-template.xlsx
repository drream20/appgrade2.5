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xampp\htdocs\mysystem1.6\instructor\templates\"/>
    </mc:Choice>
  </mc:AlternateContent>
  <xr:revisionPtr revIDLastSave="0" documentId="13_ncr:1_{6C781C92-28A5-40E4-9C90-3D649A142D93}" xr6:coauthVersionLast="47" xr6:coauthVersionMax="47" xr10:uidLastSave="{00000000-0000-0000-0000-000000000000}"/>
  <bookViews>
    <workbookView xWindow="-110" yWindow="-110" windowWidth="19420" windowHeight="10300" xr2:uid="{2ABC9C28-CCE2-4757-B660-1F6A5BA45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59" i="1" l="1"/>
  <c r="AC58" i="1"/>
  <c r="AC57" i="1"/>
  <c r="AC56" i="1"/>
  <c r="AC55" i="1"/>
  <c r="AC54" i="1"/>
  <c r="AH54" i="1" s="1"/>
  <c r="AI54" i="1" s="1"/>
  <c r="AJ54" i="1" s="1"/>
  <c r="AC53" i="1"/>
  <c r="AC52" i="1"/>
  <c r="AH52" i="1" s="1"/>
  <c r="AI52" i="1" s="1"/>
  <c r="AJ52" i="1" s="1"/>
  <c r="AC51" i="1"/>
  <c r="AC50" i="1"/>
  <c r="AC49" i="1"/>
  <c r="AC48" i="1"/>
  <c r="AC47" i="1"/>
  <c r="AC46" i="1"/>
  <c r="AC45" i="1"/>
  <c r="AC44" i="1"/>
  <c r="AC43" i="1"/>
  <c r="AC42" i="1"/>
  <c r="AH42" i="1" s="1"/>
  <c r="AI42" i="1" s="1"/>
  <c r="AJ42" i="1" s="1"/>
  <c r="AC41" i="1"/>
  <c r="AC40" i="1"/>
  <c r="AC39" i="1"/>
  <c r="AH39" i="1" s="1"/>
  <c r="AI39" i="1" s="1"/>
  <c r="AJ39" i="1" s="1"/>
  <c r="AC38" i="1"/>
  <c r="AH38" i="1" s="1"/>
  <c r="AI38" i="1" s="1"/>
  <c r="AJ38" i="1" s="1"/>
  <c r="AC37" i="1"/>
  <c r="AC36" i="1"/>
  <c r="AC35" i="1"/>
  <c r="AC34" i="1"/>
  <c r="AH34" i="1" s="1"/>
  <c r="AI34" i="1" s="1"/>
  <c r="AJ34" i="1" s="1"/>
  <c r="AC33" i="1"/>
  <c r="AC32" i="1"/>
  <c r="AC31" i="1"/>
  <c r="AH31" i="1" s="1"/>
  <c r="AI31" i="1" s="1"/>
  <c r="AJ31" i="1" s="1"/>
  <c r="AC30" i="1"/>
  <c r="AC29" i="1"/>
  <c r="AC28" i="1"/>
  <c r="AC27" i="1"/>
  <c r="AH27" i="1" s="1"/>
  <c r="AI27" i="1" s="1"/>
  <c r="AJ27" i="1" s="1"/>
  <c r="AC26" i="1"/>
  <c r="AC25" i="1"/>
  <c r="AC24" i="1"/>
  <c r="AC22" i="1"/>
  <c r="AC21" i="1"/>
  <c r="AH21" i="1" s="1"/>
  <c r="AI21" i="1" s="1"/>
  <c r="AJ21" i="1" s="1"/>
  <c r="AC23" i="1"/>
  <c r="AC20" i="1"/>
  <c r="AH20" i="1" s="1"/>
  <c r="AI20" i="1" s="1"/>
  <c r="AJ20" i="1" s="1"/>
  <c r="AC19" i="1"/>
  <c r="AH19" i="1" s="1"/>
  <c r="AI19" i="1" s="1"/>
  <c r="AJ19" i="1" s="1"/>
  <c r="AC18" i="1"/>
  <c r="AC17" i="1"/>
  <c r="AH17" i="1" s="1"/>
  <c r="AI17" i="1" s="1"/>
  <c r="AJ17" i="1" s="1"/>
  <c r="AC16" i="1"/>
  <c r="AH16" i="1" s="1"/>
  <c r="AI16" i="1" s="1"/>
  <c r="AJ16" i="1" s="1"/>
  <c r="AC15" i="1"/>
  <c r="AH15" i="1" s="1"/>
  <c r="AI15" i="1" s="1"/>
  <c r="AJ15" i="1" s="1"/>
  <c r="AC14" i="1"/>
  <c r="AH14" i="1" s="1"/>
  <c r="AI14" i="1" s="1"/>
  <c r="AJ14" i="1" s="1"/>
  <c r="AC13" i="1"/>
  <c r="AH13" i="1" s="1"/>
  <c r="AI13" i="1" s="1"/>
  <c r="AJ13" i="1" s="1"/>
  <c r="AC12" i="1"/>
  <c r="AH12" i="1" s="1"/>
  <c r="AI12" i="1" s="1"/>
  <c r="AJ12" i="1" s="1"/>
  <c r="AC11" i="1"/>
  <c r="AC10" i="1"/>
  <c r="AH10" i="1" s="1"/>
  <c r="AH11" i="1"/>
  <c r="AI11" i="1" s="1"/>
  <c r="AJ11" i="1" s="1"/>
  <c r="AH18" i="1"/>
  <c r="AI18" i="1" s="1"/>
  <c r="AJ18" i="1" s="1"/>
  <c r="AH22" i="1"/>
  <c r="AI22" i="1" s="1"/>
  <c r="AJ22" i="1" s="1"/>
  <c r="AH23" i="1"/>
  <c r="AI23" i="1" s="1"/>
  <c r="AJ23" i="1" s="1"/>
  <c r="AH24" i="1"/>
  <c r="AI24" i="1" s="1"/>
  <c r="AJ24" i="1" s="1"/>
  <c r="AH25" i="1"/>
  <c r="AI25" i="1" s="1"/>
  <c r="AJ25" i="1" s="1"/>
  <c r="AH26" i="1"/>
  <c r="AI26" i="1" s="1"/>
  <c r="AJ26" i="1" s="1"/>
  <c r="AH28" i="1"/>
  <c r="AI28" i="1" s="1"/>
  <c r="AJ28" i="1" s="1"/>
  <c r="AH29" i="1"/>
  <c r="AI29" i="1" s="1"/>
  <c r="AJ29" i="1" s="1"/>
  <c r="AH30" i="1"/>
  <c r="AI30" i="1" s="1"/>
  <c r="AJ30" i="1" s="1"/>
  <c r="AH32" i="1"/>
  <c r="AI32" i="1" s="1"/>
  <c r="AJ32" i="1" s="1"/>
  <c r="AH33" i="1"/>
  <c r="AI33" i="1" s="1"/>
  <c r="AJ33" i="1" s="1"/>
  <c r="AH35" i="1"/>
  <c r="AI35" i="1" s="1"/>
  <c r="AJ35" i="1" s="1"/>
  <c r="AH36" i="1"/>
  <c r="AI36" i="1" s="1"/>
  <c r="AJ36" i="1" s="1"/>
  <c r="AH37" i="1"/>
  <c r="AI37" i="1" s="1"/>
  <c r="AJ37" i="1" s="1"/>
  <c r="AH40" i="1"/>
  <c r="AI40" i="1" s="1"/>
  <c r="AJ40" i="1" s="1"/>
  <c r="AH41" i="1"/>
  <c r="AI41" i="1" s="1"/>
  <c r="AJ41" i="1" s="1"/>
  <c r="AH43" i="1"/>
  <c r="AI43" i="1" s="1"/>
  <c r="AJ43" i="1" s="1"/>
  <c r="AH44" i="1"/>
  <c r="AI44" i="1" s="1"/>
  <c r="AJ44" i="1" s="1"/>
  <c r="AH45" i="1"/>
  <c r="AI45" i="1" s="1"/>
  <c r="AJ45" i="1" s="1"/>
  <c r="AH46" i="1"/>
  <c r="AI46" i="1" s="1"/>
  <c r="AJ46" i="1" s="1"/>
  <c r="AH47" i="1"/>
  <c r="AI47" i="1" s="1"/>
  <c r="AJ47" i="1" s="1"/>
  <c r="AH48" i="1"/>
  <c r="AI48" i="1" s="1"/>
  <c r="AJ48" i="1" s="1"/>
  <c r="AH49" i="1"/>
  <c r="AI49" i="1" s="1"/>
  <c r="AJ49" i="1" s="1"/>
  <c r="AH50" i="1"/>
  <c r="AI50" i="1" s="1"/>
  <c r="AJ50" i="1" s="1"/>
  <c r="AH51" i="1"/>
  <c r="AI51" i="1" s="1"/>
  <c r="AJ51" i="1" s="1"/>
  <c r="AH53" i="1"/>
  <c r="AI53" i="1" s="1"/>
  <c r="AJ53" i="1" s="1"/>
  <c r="AH55" i="1"/>
  <c r="AI55" i="1" s="1"/>
  <c r="AJ55" i="1" s="1"/>
  <c r="AH56" i="1"/>
  <c r="AI56" i="1" s="1"/>
  <c r="AJ56" i="1" s="1"/>
  <c r="AH57" i="1"/>
  <c r="AI57" i="1" s="1"/>
  <c r="AJ57" i="1" s="1"/>
  <c r="AH58" i="1"/>
  <c r="AI58" i="1" s="1"/>
  <c r="AJ58" i="1" s="1"/>
  <c r="AH59" i="1"/>
  <c r="AI59" i="1" s="1"/>
  <c r="AJ59" i="1" s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10" i="1"/>
  <c r="AB8" i="1"/>
  <c r="AI10" i="1" l="1"/>
  <c r="AJ10" i="1" s="1"/>
</calcChain>
</file>

<file path=xl/sharedStrings.xml><?xml version="1.0" encoding="utf-8"?>
<sst xmlns="http://schemas.openxmlformats.org/spreadsheetml/2006/main" count="71" uniqueCount="22">
  <si>
    <t>Subject:</t>
  </si>
  <si>
    <t>Subject Teacher:</t>
  </si>
  <si>
    <t>A.Y.:</t>
  </si>
  <si>
    <t>Section:</t>
  </si>
  <si>
    <t>Semester:</t>
  </si>
  <si>
    <t>INSTRUCTOR'S RECORD BOOK</t>
  </si>
  <si>
    <t>CSP113 3BSCS-B ENGR. ERVIN JOHN G. PINEDA AY2025-2026 SECOND (2ND)</t>
  </si>
  <si>
    <t>PRELIM</t>
  </si>
  <si>
    <t>INCOMPLETE INFOSHEET RECORDS WILL RESULT TO EMPTY LIST.</t>
  </si>
  <si>
    <t>Assessments: Projects (P), Assignments (AS), Exercises (EX), Quizzes (Q) &amp; other Graded Activities (GA).</t>
  </si>
  <si>
    <t>Assessment Total</t>
  </si>
  <si>
    <t>CLASS STANDING</t>
  </si>
  <si>
    <t>Value Forming Activities</t>
  </si>
  <si>
    <t>ATTENDANCE</t>
  </si>
  <si>
    <t>Term Exam Score</t>
  </si>
  <si>
    <t>EXAMS PERCENTAGE</t>
  </si>
  <si>
    <r>
      <t xml:space="preserve">TRANSMUTED </t>
    </r>
    <r>
      <rPr>
        <b/>
        <i/>
        <u/>
        <sz val="11"/>
        <color theme="1"/>
        <rFont val="Aptos Narrow"/>
        <family val="2"/>
        <scheme val="minor"/>
      </rPr>
      <t>(Passing is 60)</t>
    </r>
  </si>
  <si>
    <t>PRELIM GRADES</t>
  </si>
  <si>
    <t>REMARKS</t>
  </si>
  <si>
    <t>NO.</t>
  </si>
  <si>
    <t>STUDENT NAME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</si>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</sst>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20"/>
      <color theme="1"/>
      <name val="Cambria"/>
      <family val="1"/>
    </font>
    <font>
      <b/>
      <sz val="20"/>
      <color theme="1"/>
      <name val="Cambria"/>
      <family val="1"/>
    </font>
    <font>
      <sz val="2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i/>
      <sz val="18"/>
      <color theme="1"/>
      <name val="Aptos Narrow"/>
      <family val="2"/>
      <scheme val="minor"/>
    </font>
    <font>
      <b/>
      <i/>
      <sz val="18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 applyProtection="1">
      <protection hidden="1"/>
    </xf>
    <xf numFmtId="0" fontId="0" fillId="2" borderId="0" xfId="0" applyFill="1" applyProtection="1">
      <protection hidden="1"/>
    </xf>
    <xf numFmtId="0" fontId="4" fillId="0" borderId="0" xfId="0" applyFont="1" applyProtection="1">
      <protection hidden="1"/>
    </xf>
    <xf numFmtId="0" fontId="3" fillId="2" borderId="0" xfId="0" applyFont="1" applyFill="1" applyProtection="1">
      <protection hidden="1"/>
    </xf>
    <xf numFmtId="0" fontId="4" fillId="2" borderId="0" xfId="0" applyFont="1" applyFill="1" applyProtection="1">
      <protection hidden="1"/>
    </xf>
    <xf numFmtId="0" fontId="0" fillId="0" borderId="0" xfId="0" applyProtection="1">
      <protection hidden="1"/>
    </xf>
    <xf numFmtId="0" fontId="5" fillId="2" borderId="0" xfId="0" applyFont="1" applyFill="1" applyProtection="1">
      <protection hidden="1"/>
    </xf>
    <xf numFmtId="0" fontId="6" fillId="2" borderId="0" xfId="0" applyFont="1" applyFill="1" applyProtection="1">
      <protection hidden="1"/>
    </xf>
    <xf numFmtId="0" fontId="0" fillId="2" borderId="0" xfId="0" applyFill="1" applyProtection="1">
      <protection locked="0" hidden="1"/>
    </xf>
    <xf numFmtId="0" fontId="9" fillId="5" borderId="3" xfId="0" applyFont="1" applyFill="1" applyBorder="1" applyAlignment="1" applyProtection="1">
      <alignment horizontal="center" vertical="center" wrapText="1"/>
      <protection locked="0" hidden="1"/>
    </xf>
    <xf numFmtId="0" fontId="3" fillId="8" borderId="3" xfId="0" applyFont="1" applyFill="1" applyBorder="1" applyAlignment="1" applyProtection="1">
      <alignment horizontal="center" vertical="center" wrapText="1"/>
      <protection locked="0" hidden="1"/>
    </xf>
    <xf numFmtId="0" fontId="0" fillId="5" borderId="3" xfId="0" applyFill="1" applyBorder="1" applyAlignment="1" applyProtection="1">
      <alignment horizontal="center" vertical="center"/>
      <protection locked="0" hidden="1"/>
    </xf>
    <xf numFmtId="0" fontId="14" fillId="4" borderId="3" xfId="0" applyFont="1" applyFill="1" applyBorder="1" applyAlignment="1" applyProtection="1">
      <alignment horizontal="center" vertical="center"/>
      <protection locked="0"/>
    </xf>
    <xf numFmtId="0" fontId="3" fillId="6" borderId="8" xfId="0" applyFont="1" applyFill="1" applyBorder="1" applyAlignment="1" applyProtection="1">
      <alignment horizontal="center" vertical="center" wrapText="1"/>
      <protection hidden="1"/>
    </xf>
    <xf numFmtId="0" fontId="3" fillId="7" borderId="8" xfId="0" applyFont="1" applyFill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/>
      <protection hidden="1"/>
    </xf>
    <xf numFmtId="0" fontId="0" fillId="2" borderId="3" xfId="0" applyFill="1" applyBorder="1" applyAlignment="1" applyProtection="1">
      <alignment horizontal="center" vertical="center"/>
      <protection locked="0" hidden="1"/>
    </xf>
    <xf numFmtId="0" fontId="0" fillId="5" borderId="3" xfId="0" applyFill="1" applyBorder="1" applyAlignment="1" applyProtection="1">
      <alignment horizontal="center" vertical="center"/>
      <protection hidden="1"/>
    </xf>
    <xf numFmtId="1" fontId="3" fillId="4" borderId="3" xfId="1" applyNumberFormat="1" applyFont="1" applyFill="1" applyBorder="1" applyAlignment="1" applyProtection="1">
      <alignment horizontal="center" vertical="center"/>
      <protection hidden="1"/>
    </xf>
    <xf numFmtId="1" fontId="3" fillId="3" borderId="3" xfId="1" applyNumberFormat="1" applyFont="1" applyFill="1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164" fontId="3" fillId="5" borderId="3" xfId="1" applyNumberFormat="1" applyFont="1" applyFill="1" applyBorder="1" applyAlignment="1" applyProtection="1">
      <alignment horizontal="center" vertical="center"/>
      <protection hidden="1"/>
    </xf>
    <xf numFmtId="164" fontId="3" fillId="8" borderId="3" xfId="1" applyNumberFormat="1" applyFont="1" applyFill="1" applyBorder="1" applyAlignment="1" applyProtection="1">
      <alignment horizontal="center" vertical="center"/>
      <protection hidden="1"/>
    </xf>
    <xf numFmtId="164" fontId="3" fillId="6" borderId="3" xfId="1" applyNumberFormat="1" applyFont="1" applyFill="1" applyBorder="1" applyAlignment="1" applyProtection="1">
      <alignment horizontal="center" vertical="center"/>
      <protection locked="0"/>
    </xf>
    <xf numFmtId="164" fontId="3" fillId="7" borderId="3" xfId="1" applyNumberFormat="1" applyFont="1" applyFill="1" applyBorder="1" applyAlignment="1" applyProtection="1">
      <alignment horizontal="center" vertical="center"/>
      <protection locked="0"/>
    </xf>
    <xf numFmtId="0" fontId="3" fillId="9" borderId="4" xfId="0" applyFont="1" applyFill="1" applyBorder="1" applyAlignment="1" applyProtection="1">
      <alignment horizontal="center" vertical="center"/>
      <protection locked="0" hidden="1"/>
    </xf>
    <xf numFmtId="0" fontId="3" fillId="9" borderId="8" xfId="0" applyFont="1" applyFill="1" applyBorder="1" applyAlignment="1" applyProtection="1">
      <alignment horizontal="center" vertical="center"/>
      <protection locked="0" hidden="1"/>
    </xf>
    <xf numFmtId="0" fontId="3" fillId="9" borderId="5" xfId="0" applyFont="1" applyFill="1" applyBorder="1" applyAlignment="1" applyProtection="1">
      <alignment horizontal="center" vertical="center"/>
      <protection locked="0" hidden="1"/>
    </xf>
    <xf numFmtId="0" fontId="3" fillId="9" borderId="6" xfId="0" applyFont="1" applyFill="1" applyBorder="1" applyAlignment="1" applyProtection="1">
      <alignment horizontal="center" vertical="center"/>
      <protection locked="0" hidden="1"/>
    </xf>
    <xf numFmtId="0" fontId="3" fillId="9" borderId="1" xfId="0" applyFont="1" applyFill="1" applyBorder="1" applyAlignment="1" applyProtection="1">
      <alignment horizontal="center" vertical="center"/>
      <protection locked="0" hidden="1"/>
    </xf>
    <xf numFmtId="0" fontId="3" fillId="9" borderId="2" xfId="0" applyFont="1" applyFill="1" applyBorder="1" applyAlignment="1" applyProtection="1">
      <alignment horizontal="center" vertical="center"/>
      <protection locked="0" hidden="1"/>
    </xf>
    <xf numFmtId="0" fontId="12" fillId="5" borderId="3" xfId="0" applyFont="1" applyFill="1" applyBorder="1" applyAlignment="1" applyProtection="1">
      <alignment horizontal="center" vertical="center" wrapText="1"/>
      <protection hidden="1"/>
    </xf>
    <xf numFmtId="0" fontId="13" fillId="8" borderId="3" xfId="0" applyFont="1" applyFill="1" applyBorder="1" applyAlignment="1" applyProtection="1">
      <alignment horizontal="center" vertical="center"/>
      <protection locked="0" hidden="1"/>
    </xf>
    <xf numFmtId="0" fontId="4" fillId="0" borderId="0" xfId="0" applyFont="1" applyAlignment="1" applyProtection="1">
      <alignment horizontal="left"/>
      <protection hidden="1"/>
    </xf>
    <xf numFmtId="0" fontId="6" fillId="2" borderId="0" xfId="0" applyFont="1" applyFill="1" applyAlignment="1" applyProtection="1">
      <alignment horizontal="center" vertical="center"/>
      <protection locked="0" hidden="1"/>
    </xf>
    <xf numFmtId="0" fontId="7" fillId="2" borderId="0" xfId="0" applyFont="1" applyFill="1" applyAlignment="1" applyProtection="1">
      <alignment horizontal="center" vertical="center"/>
      <protection locked="0" hidden="1"/>
    </xf>
    <xf numFmtId="0" fontId="3" fillId="3" borderId="1" xfId="0" applyFont="1" applyFill="1" applyBorder="1" applyAlignment="1" applyProtection="1">
      <alignment horizontal="center"/>
      <protection locked="0" hidden="1"/>
    </xf>
    <xf numFmtId="0" fontId="2" fillId="4" borderId="1" xfId="0" applyFont="1" applyFill="1" applyBorder="1" applyAlignment="1" applyProtection="1">
      <alignment horizontal="center"/>
      <protection locked="0" hidden="1"/>
    </xf>
    <xf numFmtId="0" fontId="2" fillId="4" borderId="2" xfId="0" applyFont="1" applyFill="1" applyBorder="1" applyAlignment="1" applyProtection="1">
      <alignment horizontal="center"/>
      <protection locked="0" hidden="1"/>
    </xf>
    <xf numFmtId="0" fontId="8" fillId="5" borderId="3" xfId="0" applyFont="1" applyFill="1" applyBorder="1" applyAlignment="1" applyProtection="1">
      <alignment horizontal="center" vertical="center"/>
      <protection locked="0" hidden="1"/>
    </xf>
    <xf numFmtId="0" fontId="3" fillId="5" borderId="3" xfId="0" applyFont="1" applyFill="1" applyBorder="1" applyAlignment="1" applyProtection="1">
      <alignment horizontal="center" vertical="center" wrapText="1"/>
      <protection locked="0" hidden="1"/>
    </xf>
    <xf numFmtId="0" fontId="3" fillId="6" borderId="4" xfId="0" applyFont="1" applyFill="1" applyBorder="1" applyAlignment="1" applyProtection="1">
      <alignment horizontal="center" vertical="center" wrapText="1"/>
      <protection locked="0" hidden="1"/>
    </xf>
    <xf numFmtId="0" fontId="3" fillId="6" borderId="7" xfId="0" applyFont="1" applyFill="1" applyBorder="1" applyAlignment="1" applyProtection="1">
      <alignment horizontal="center" vertical="center" wrapText="1"/>
      <protection locked="0" hidden="1"/>
    </xf>
    <xf numFmtId="0" fontId="10" fillId="7" borderId="4" xfId="0" applyFont="1" applyFill="1" applyBorder="1" applyAlignment="1" applyProtection="1">
      <alignment horizontal="center" vertical="center" wrapText="1"/>
      <protection locked="0" hidden="1"/>
    </xf>
    <xf numFmtId="0" fontId="10" fillId="7" borderId="7" xfId="0" applyFont="1" applyFill="1" applyBorder="1" applyAlignment="1" applyProtection="1">
      <alignment horizontal="center" vertical="center" wrapText="1"/>
      <protection locked="0" hidden="1"/>
    </xf>
    <xf numFmtId="0" fontId="3" fillId="0" borderId="3" xfId="0" applyFont="1" applyBorder="1" applyAlignment="1" applyProtection="1">
      <alignment horizontal="left" vertical="center"/>
      <protection hidden="1"/>
    </xf>
    <xf numFmtId="0" fontId="3" fillId="8" borderId="3" xfId="0" applyFont="1" applyFill="1" applyBorder="1" applyAlignment="1" applyProtection="1">
      <alignment horizontal="center" vertical="center" wrapText="1"/>
      <protection locked="0" hidden="1"/>
    </xf>
    <xf numFmtId="0" fontId="3" fillId="4" borderId="4" xfId="0" applyFont="1" applyFill="1" applyBorder="1" applyAlignment="1" applyProtection="1">
      <alignment horizontal="center" vertical="center" wrapText="1"/>
      <protection locked="0" hidden="1"/>
    </xf>
    <xf numFmtId="0" fontId="3" fillId="4" borderId="7" xfId="0" applyFont="1" applyFill="1" applyBorder="1" applyAlignment="1" applyProtection="1">
      <alignment horizontal="center" vertical="center" wrapText="1"/>
      <protection locked="0" hidden="1"/>
    </xf>
    <xf numFmtId="0" fontId="3" fillId="4" borderId="8" xfId="0" applyFont="1" applyFill="1" applyBorder="1" applyAlignment="1" applyProtection="1">
      <alignment horizontal="center" vertical="center" wrapText="1"/>
      <protection locked="0" hidden="1"/>
    </xf>
    <xf numFmtId="0" fontId="3" fillId="3" borderId="3" xfId="0" applyFont="1" applyFill="1" applyBorder="1" applyAlignment="1" applyProtection="1">
      <alignment horizontal="center" vertical="center" wrapText="1"/>
      <protection locked="0" hidden="1"/>
    </xf>
    <xf numFmtId="0" fontId="3" fillId="2" borderId="3" xfId="0" applyFont="1" applyFill="1" applyBorder="1" applyAlignment="1" applyProtection="1">
      <alignment horizontal="center" vertical="center"/>
      <protection locked="0" hidden="1"/>
    </xf>
  </cellXfs>
  <cellStyles count="2">
    <cellStyle name="Normal" xfId="0" builtinId="0"/>
    <cellStyle name="Percent" xfId="1" builtinId="5"/>
  </cellStyles>
  <dxfs count="9"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CE55-7E33-4367-832A-DAE15B5535BC}">
  <dimension ref="A1:AJ59"/>
  <sheetViews>
    <sheetView tabSelected="1" topLeftCell="P1" zoomScale="85" zoomScaleNormal="85" workbookViewId="0">
      <selection activeCell="AI2" sqref="AI2"/>
    </sheetView>
  </sheetViews>
  <sheetFormatPr defaultRowHeight="14.5" x14ac:dyDescent="0.35"/>
  <cols>
    <col min="3" max="3" width="12.7265625" customWidth="1"/>
    <col min="28" max="28" width="14.54296875" bestFit="1" customWidth="1"/>
  </cols>
  <sheetData>
    <row r="1" spans="1:36" x14ac:dyDescent="0.35">
      <c r="A1" s="1" t="s">
        <v>0</v>
      </c>
      <c r="B1" s="2"/>
      <c r="C1" s="3"/>
      <c r="D1" s="34"/>
      <c r="E1" s="34"/>
      <c r="F1" s="34"/>
      <c r="G1" s="34"/>
    </row>
    <row r="2" spans="1:36" x14ac:dyDescent="0.35">
      <c r="A2" s="1" t="s">
        <v>1</v>
      </c>
      <c r="B2" s="1"/>
      <c r="C2" s="34"/>
      <c r="D2" s="34"/>
      <c r="E2" s="34"/>
      <c r="F2" s="34"/>
      <c r="G2" s="34"/>
    </row>
    <row r="3" spans="1:36" x14ac:dyDescent="0.35">
      <c r="A3" s="4" t="s">
        <v>2</v>
      </c>
      <c r="B3" s="2"/>
      <c r="C3" s="5"/>
      <c r="D3" s="5" t="s">
        <v>3</v>
      </c>
      <c r="E3" s="5"/>
      <c r="F3" s="6"/>
      <c r="G3" s="6"/>
    </row>
    <row r="4" spans="1:36" ht="25" x14ac:dyDescent="0.5">
      <c r="A4" s="4" t="s">
        <v>4</v>
      </c>
      <c r="B4" s="2"/>
      <c r="C4" s="5"/>
      <c r="D4" s="7"/>
      <c r="E4" s="8"/>
      <c r="F4" s="8"/>
      <c r="G4" s="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 spans="1:36" ht="31" x14ac:dyDescent="0.35">
      <c r="A5" s="35" t="s">
        <v>5</v>
      </c>
      <c r="B5" s="35"/>
      <c r="C5" s="35"/>
      <c r="D5" s="35"/>
      <c r="E5" s="35"/>
      <c r="F5" s="35"/>
      <c r="G5" s="35"/>
      <c r="H5" s="36" t="s">
        <v>6</v>
      </c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</row>
    <row r="6" spans="1:36" x14ac:dyDescent="0.35">
      <c r="A6" s="9"/>
      <c r="B6" s="9"/>
      <c r="C6" s="9"/>
      <c r="D6" s="9"/>
      <c r="E6" s="9"/>
      <c r="F6" s="9"/>
      <c r="G6" s="9"/>
      <c r="H6" s="37" t="s">
        <v>7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</row>
    <row r="7" spans="1:36" ht="43.5" x14ac:dyDescent="0.35">
      <c r="A7" s="38" t="s">
        <v>8</v>
      </c>
      <c r="B7" s="38"/>
      <c r="C7" s="38"/>
      <c r="D7" s="38"/>
      <c r="E7" s="38"/>
      <c r="F7" s="38"/>
      <c r="G7" s="39"/>
      <c r="H7" s="40" t="s">
        <v>9</v>
      </c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10" t="s">
        <v>10</v>
      </c>
      <c r="AC7" s="41" t="s">
        <v>11</v>
      </c>
      <c r="AD7" s="42" t="s">
        <v>12</v>
      </c>
      <c r="AE7" s="44" t="s">
        <v>13</v>
      </c>
      <c r="AF7" s="11" t="s">
        <v>14</v>
      </c>
      <c r="AG7" s="47" t="s">
        <v>15</v>
      </c>
      <c r="AH7" s="48" t="s">
        <v>16</v>
      </c>
      <c r="AI7" s="51" t="s">
        <v>17</v>
      </c>
      <c r="AJ7" s="52" t="s">
        <v>18</v>
      </c>
    </row>
    <row r="8" spans="1:36" x14ac:dyDescent="0.35">
      <c r="A8" s="26" t="s">
        <v>19</v>
      </c>
      <c r="B8" s="28" t="s">
        <v>20</v>
      </c>
      <c r="C8" s="28"/>
      <c r="D8" s="28"/>
      <c r="E8" s="28"/>
      <c r="F8" s="28"/>
      <c r="G8" s="29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32" t="str">
        <f>IF(COUNT(H9:AA9)=0,"",SUM(H9:AA9))</f>
        <v/>
      </c>
      <c r="AC8" s="41"/>
      <c r="AD8" s="43"/>
      <c r="AE8" s="45"/>
      <c r="AF8" s="33"/>
      <c r="AG8" s="47"/>
      <c r="AH8" s="49"/>
      <c r="AI8" s="51"/>
      <c r="AJ8" s="52"/>
    </row>
    <row r="9" spans="1:36" x14ac:dyDescent="0.35">
      <c r="A9" s="27"/>
      <c r="B9" s="30"/>
      <c r="C9" s="30"/>
      <c r="D9" s="30"/>
      <c r="E9" s="30"/>
      <c r="F9" s="30"/>
      <c r="G9" s="31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32"/>
      <c r="AC9" s="41"/>
      <c r="AD9" s="14"/>
      <c r="AE9" s="15">
        <v>100</v>
      </c>
      <c r="AF9" s="33"/>
      <c r="AG9" s="47"/>
      <c r="AH9" s="50"/>
      <c r="AI9" s="51"/>
      <c r="AJ9" s="52"/>
    </row>
    <row r="10" spans="1:36" x14ac:dyDescent="0.35">
      <c r="A10" s="16">
        <v>1</v>
      </c>
      <c r="B10" s="46" t="s">
        <v>21</v>
      </c>
      <c r="C10" s="46"/>
      <c r="D10" s="46"/>
      <c r="E10" s="46"/>
      <c r="F10" s="46"/>
      <c r="G10" s="46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8" t="str">
        <f>IF(COUNTA(H10:AA10)=0,"",SUM(H10:AA10))</f>
        <v/>
      </c>
      <c r="AC10" s="22" t="str">
        <f>IF(AB10="","",(AB10/AB8)*100)</f>
        <v/>
      </c>
      <c r="AD10" s="24"/>
      <c r="AE10" s="25"/>
      <c r="AF10" s="17"/>
      <c r="AG10" s="23" t="str">
        <f>IFERROR(IF(OR(AF10="",AF8=""),"",AF10/AF8),"")</f>
        <v/>
      </c>
      <c r="AH10" s="19" t="str">
        <f>IF(COUNT(AC10,AD10,AE10,AG10)=0,"",(AC10*0.35)+(AD10*0.2)+(AE10*0.05)+(AG10*0.4))</f>
        <v/>
      </c>
      <c r="AI10" s="20" t="str">
        <f>IF(AH10="","",CHOOSE(AH10+1,65,65,66,66,66,66,66,66,66,67,67,67,67,67,67,68,68,68,68,68,68,68,69,69,69,69,69,69,69,70,70,70,70,70,70,71,71,71,71,71,71,71,72,72,72,72,72,72,73,73,73,73,73,73,73,74,74,74,74,74,75,75,76,76,77,77,78,78,79,79,80,80,81,81,82,82,83,83,84,84,85,85,86,86,87,87,88,88,89,89,90,91,92,93,94,95,96,97,98,99,100))</f>
        <v/>
      </c>
      <c r="AJ10" s="21" t="str">
        <f>IF(AI10="","",IF(AI10&gt;=75,"PASSED","FAILED"))</f>
        <v/>
      </c>
    </row>
    <row r="11" spans="1:36" x14ac:dyDescent="0.35">
      <c r="A11" s="16">
        <v>2</v>
      </c>
      <c r="B11" s="46" t="s">
        <v>21</v>
      </c>
      <c r="C11" s="46"/>
      <c r="D11" s="46"/>
      <c r="E11" s="46"/>
      <c r="F11" s="46"/>
      <c r="G11" s="46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8" t="str">
        <f t="shared" ref="AB11:AB59" si="0">IF(COUNTA(H11:AA11)=0,"",SUM(H11:AA11))</f>
        <v/>
      </c>
      <c r="AC11" s="22" t="str">
        <f>IF(AB11="","",(AB11/AB8)*100)</f>
        <v/>
      </c>
      <c r="AD11" s="24"/>
      <c r="AE11" s="25"/>
      <c r="AF11" s="17"/>
      <c r="AG11" s="23" t="str">
        <f>IFERROR(IF(OR(AF11="",AF8=""),"",AF11/AF8),"")</f>
        <v/>
      </c>
      <c r="AH11" s="19" t="str">
        <f t="shared" ref="AH11:AH59" si="1">IF(COUNT(AC11,AD11,AE11,AG11)=0,"",(AC11*0.35)+(AD11*0.2)+(AE11*0.05)+(AG11*0.4))</f>
        <v/>
      </c>
      <c r="AI11" s="20" t="str">
        <f t="shared" ref="AI11:AI12" si="2">IF(AH11="","",CHOOSE(AH11+1,65,65,66,66,66,66,66,66,66,67,67,67,67,67,67,68,68,68,68,68,68,68,69,69,69,69,69,69,69,70,70,70,70,70,70,71,71,71,71,71,71,71,72,72,72,72,72,72,73,73,73,73,73,73,73,74,74,74,74,74,75,75,76,76,77,77,78,78,79,79,80,80,81,81,82,82,83,83,84,84,85,85,86,86,87,87,88,88,89,89,90,91,92,93,94,95,96,97,98,99,100))</f>
        <v/>
      </c>
      <c r="AJ11" s="21" t="str">
        <f t="shared" ref="AJ11:AJ59" si="3">IF(AI11="","",IF(AI11&gt;=75,"PASSED","FAILED"))</f>
        <v/>
      </c>
    </row>
    <row r="12" spans="1:36" x14ac:dyDescent="0.35">
      <c r="A12" s="16">
        <v>3</v>
      </c>
      <c r="B12" s="46" t="s">
        <v>21</v>
      </c>
      <c r="C12" s="46"/>
      <c r="D12" s="46"/>
      <c r="E12" s="46"/>
      <c r="F12" s="46"/>
      <c r="G12" s="46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8" t="str">
        <f t="shared" si="0"/>
        <v/>
      </c>
      <c r="AC12" s="22" t="str">
        <f>IF(AB12="","",(AB12/AB8)*100)</f>
        <v/>
      </c>
      <c r="AD12" s="24"/>
      <c r="AE12" s="25"/>
      <c r="AF12" s="17"/>
      <c r="AG12" s="23" t="str">
        <f>IFERROR(IF(OR(AF12="",AF8=""),"",AF12/AF8),"")</f>
        <v/>
      </c>
      <c r="AH12" s="19" t="str">
        <f t="shared" si="1"/>
        <v/>
      </c>
      <c r="AI12" s="20" t="str">
        <f t="shared" si="2"/>
        <v/>
      </c>
      <c r="AJ12" s="21" t="str">
        <f t="shared" si="3"/>
        <v/>
      </c>
    </row>
    <row r="13" spans="1:36" x14ac:dyDescent="0.35">
      <c r="A13" s="16">
        <v>4</v>
      </c>
      <c r="B13" s="46" t="s">
        <v>21</v>
      </c>
      <c r="C13" s="46"/>
      <c r="D13" s="46"/>
      <c r="E13" s="46"/>
      <c r="F13" s="46"/>
      <c r="G13" s="46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8" t="str">
        <f t="shared" si="0"/>
        <v/>
      </c>
      <c r="AC13" s="22" t="str">
        <f>IF(AB13="","",(AB13/AB8)*100)</f>
        <v/>
      </c>
      <c r="AD13" s="24"/>
      <c r="AE13" s="25"/>
      <c r="AF13" s="17"/>
      <c r="AG13" s="23" t="str">
        <f>IFERROR(IF(OR(AF13="",AF8=""),"",AF13/AF8),"")</f>
        <v/>
      </c>
      <c r="AH13" s="19" t="str">
        <f t="shared" si="1"/>
        <v/>
      </c>
      <c r="AI13" s="20" t="str">
        <f t="shared" ref="AI13:AI59" si="4">IF(AH13="","",CHOOSE(AH13+1,65,65,66,66,66,66,66,66,66,67,67,67,67,67,67,68,68,68,68,68,68,68,69,69,69,69,69,69,69,70,70,70,70,70,70,71,71,71,71,71,71,71,72,72,72,72,72,72,73,73,73,73,73,73,73,74,74,74,74,74,75,75,76,76,77,77,78,78,79,79,80,80,81,81,82,82,83,83,84,84,85,85,86,86,87,87,88,88,89,89,90,91,92,93,94,95,96,97,98,99,100))</f>
        <v/>
      </c>
      <c r="AJ13" s="21" t="str">
        <f t="shared" si="3"/>
        <v/>
      </c>
    </row>
    <row r="14" spans="1:36" x14ac:dyDescent="0.35">
      <c r="A14" s="16">
        <v>5</v>
      </c>
      <c r="B14" s="46" t="s">
        <v>21</v>
      </c>
      <c r="C14" s="46"/>
      <c r="D14" s="46"/>
      <c r="E14" s="46"/>
      <c r="F14" s="46"/>
      <c r="G14" s="46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8" t="str">
        <f t="shared" si="0"/>
        <v/>
      </c>
      <c r="AC14" s="22" t="str">
        <f>IF(AB14="","",(AB14/AB8)*100)</f>
        <v/>
      </c>
      <c r="AD14" s="24"/>
      <c r="AE14" s="25"/>
      <c r="AF14" s="17"/>
      <c r="AG14" s="23" t="str">
        <f>IFERROR(IF(OR(AF14="",AF8=""),"",AF14/AF8),"")</f>
        <v/>
      </c>
      <c r="AH14" s="19" t="str">
        <f t="shared" si="1"/>
        <v/>
      </c>
      <c r="AI14" s="20" t="str">
        <f t="shared" si="4"/>
        <v/>
      </c>
      <c r="AJ14" s="21" t="str">
        <f t="shared" si="3"/>
        <v/>
      </c>
    </row>
    <row r="15" spans="1:36" x14ac:dyDescent="0.35">
      <c r="A15" s="16">
        <v>6</v>
      </c>
      <c r="B15" s="46" t="s">
        <v>21</v>
      </c>
      <c r="C15" s="46"/>
      <c r="D15" s="46"/>
      <c r="E15" s="46"/>
      <c r="F15" s="46"/>
      <c r="G15" s="46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8" t="str">
        <f t="shared" si="0"/>
        <v/>
      </c>
      <c r="AC15" s="22" t="str">
        <f>IF(AB15="","",(AB15/AB8)*100)</f>
        <v/>
      </c>
      <c r="AD15" s="24"/>
      <c r="AE15" s="25"/>
      <c r="AF15" s="17"/>
      <c r="AG15" s="23" t="str">
        <f>IFERROR(IF(OR(AF15="",AF8=""),"",AF15/AF8),"")</f>
        <v/>
      </c>
      <c r="AH15" s="19" t="str">
        <f t="shared" si="1"/>
        <v/>
      </c>
      <c r="AI15" s="20" t="str">
        <f t="shared" si="4"/>
        <v/>
      </c>
      <c r="AJ15" s="21" t="str">
        <f t="shared" si="3"/>
        <v/>
      </c>
    </row>
    <row r="16" spans="1:36" x14ac:dyDescent="0.35">
      <c r="A16" s="16">
        <v>7</v>
      </c>
      <c r="B16" s="46" t="s">
        <v>21</v>
      </c>
      <c r="C16" s="46"/>
      <c r="D16" s="46"/>
      <c r="E16" s="46"/>
      <c r="F16" s="46"/>
      <c r="G16" s="46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8" t="str">
        <f t="shared" si="0"/>
        <v/>
      </c>
      <c r="AC16" s="22" t="str">
        <f>IF(AB16="","",(AB16/AB8)*100)</f>
        <v/>
      </c>
      <c r="AD16" s="24"/>
      <c r="AE16" s="25"/>
      <c r="AF16" s="17"/>
      <c r="AG16" s="23" t="str">
        <f>IFERROR(IF(OR(AF16="",AF8=""),"",AF16/AF8),"")</f>
        <v/>
      </c>
      <c r="AH16" s="19" t="str">
        <f t="shared" si="1"/>
        <v/>
      </c>
      <c r="AI16" s="20" t="str">
        <f t="shared" si="4"/>
        <v/>
      </c>
      <c r="AJ16" s="21" t="str">
        <f t="shared" si="3"/>
        <v/>
      </c>
    </row>
    <row r="17" spans="1:36" x14ac:dyDescent="0.35">
      <c r="A17" s="16">
        <v>8</v>
      </c>
      <c r="B17" s="46" t="s">
        <v>21</v>
      </c>
      <c r="C17" s="46"/>
      <c r="D17" s="46"/>
      <c r="E17" s="46"/>
      <c r="F17" s="46"/>
      <c r="G17" s="46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8" t="str">
        <f t="shared" si="0"/>
        <v/>
      </c>
      <c r="AC17" s="22" t="str">
        <f>IF(AB17="","",(AB17/AB8)*100)</f>
        <v/>
      </c>
      <c r="AD17" s="24"/>
      <c r="AE17" s="25"/>
      <c r="AF17" s="17"/>
      <c r="AG17" s="23" t="str">
        <f>IFERROR(IF(OR(AF17="",AF8=""),"",AF17/AF8),"")</f>
        <v/>
      </c>
      <c r="AH17" s="19" t="str">
        <f t="shared" si="1"/>
        <v/>
      </c>
      <c r="AI17" s="20" t="str">
        <f t="shared" si="4"/>
        <v/>
      </c>
      <c r="AJ17" s="21" t="str">
        <f t="shared" si="3"/>
        <v/>
      </c>
    </row>
    <row r="18" spans="1:36" x14ac:dyDescent="0.35">
      <c r="A18" s="16">
        <v>9</v>
      </c>
      <c r="B18" s="46" t="s">
        <v>21</v>
      </c>
      <c r="C18" s="46"/>
      <c r="D18" s="46"/>
      <c r="E18" s="46"/>
      <c r="F18" s="46"/>
      <c r="G18" s="46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8" t="str">
        <f t="shared" si="0"/>
        <v/>
      </c>
      <c r="AC18" s="22" t="str">
        <f>IF(AB18="","",(AB18/AB8)*100)</f>
        <v/>
      </c>
      <c r="AD18" s="24"/>
      <c r="AE18" s="25"/>
      <c r="AF18" s="17"/>
      <c r="AG18" s="23" t="str">
        <f>IFERROR(IF(OR(AF18="",AF8=""),"",AF18/AF8),"")</f>
        <v/>
      </c>
      <c r="AH18" s="19" t="str">
        <f t="shared" si="1"/>
        <v/>
      </c>
      <c r="AI18" s="20" t="str">
        <f t="shared" si="4"/>
        <v/>
      </c>
      <c r="AJ18" s="21" t="str">
        <f t="shared" si="3"/>
        <v/>
      </c>
    </row>
    <row r="19" spans="1:36" x14ac:dyDescent="0.35">
      <c r="A19" s="16">
        <v>10</v>
      </c>
      <c r="B19" s="46" t="s">
        <v>21</v>
      </c>
      <c r="C19" s="46"/>
      <c r="D19" s="46"/>
      <c r="E19" s="46"/>
      <c r="F19" s="46"/>
      <c r="G19" s="46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8" t="str">
        <f t="shared" si="0"/>
        <v/>
      </c>
      <c r="AC19" s="22" t="str">
        <f>IF(AB19="","",(AB19/AB8)*100)</f>
        <v/>
      </c>
      <c r="AD19" s="24"/>
      <c r="AE19" s="25"/>
      <c r="AF19" s="17"/>
      <c r="AG19" s="23" t="str">
        <f>IFERROR(IF(OR(AF19="",AF8=""),"",AF19/AF8),"")</f>
        <v/>
      </c>
      <c r="AH19" s="19" t="str">
        <f t="shared" si="1"/>
        <v/>
      </c>
      <c r="AI19" s="20" t="str">
        <f t="shared" si="4"/>
        <v/>
      </c>
      <c r="AJ19" s="21" t="str">
        <f t="shared" si="3"/>
        <v/>
      </c>
    </row>
    <row r="20" spans="1:36" x14ac:dyDescent="0.35">
      <c r="A20" s="16">
        <v>11</v>
      </c>
      <c r="B20" s="46" t="s">
        <v>21</v>
      </c>
      <c r="C20" s="46"/>
      <c r="D20" s="46"/>
      <c r="E20" s="46"/>
      <c r="F20" s="46"/>
      <c r="G20" s="46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8" t="str">
        <f t="shared" si="0"/>
        <v/>
      </c>
      <c r="AC20" s="22" t="str">
        <f>IF(AB20="","",(AB20/AB8)*100)</f>
        <v/>
      </c>
      <c r="AD20" s="24"/>
      <c r="AE20" s="25"/>
      <c r="AF20" s="17"/>
      <c r="AG20" s="23" t="str">
        <f>IFERROR(IF(OR(AF20="",AF8=""),"",AF20/AF8),"")</f>
        <v/>
      </c>
      <c r="AH20" s="19" t="str">
        <f t="shared" si="1"/>
        <v/>
      </c>
      <c r="AI20" s="20" t="str">
        <f t="shared" si="4"/>
        <v/>
      </c>
      <c r="AJ20" s="21" t="str">
        <f t="shared" si="3"/>
        <v/>
      </c>
    </row>
    <row r="21" spans="1:36" x14ac:dyDescent="0.35">
      <c r="A21" s="16">
        <v>12</v>
      </c>
      <c r="B21" s="46" t="s">
        <v>21</v>
      </c>
      <c r="C21" s="46"/>
      <c r="D21" s="46"/>
      <c r="E21" s="46"/>
      <c r="F21" s="46"/>
      <c r="G21" s="46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8" t="str">
        <f t="shared" si="0"/>
        <v/>
      </c>
      <c r="AC21" s="22" t="str">
        <f>IF(AB21="","",(AB21/AB8)*100)</f>
        <v/>
      </c>
      <c r="AD21" s="24"/>
      <c r="AE21" s="25"/>
      <c r="AF21" s="17"/>
      <c r="AG21" s="23" t="str">
        <f>IFERROR(IF(OR(AF21="",AF8=""),"",AF21/AF8),"")</f>
        <v/>
      </c>
      <c r="AH21" s="19" t="str">
        <f t="shared" si="1"/>
        <v/>
      </c>
      <c r="AI21" s="20" t="str">
        <f t="shared" si="4"/>
        <v/>
      </c>
      <c r="AJ21" s="21" t="str">
        <f t="shared" si="3"/>
        <v/>
      </c>
    </row>
    <row r="22" spans="1:36" x14ac:dyDescent="0.35">
      <c r="A22" s="16">
        <v>13</v>
      </c>
      <c r="B22" s="46" t="s">
        <v>21</v>
      </c>
      <c r="C22" s="46"/>
      <c r="D22" s="46"/>
      <c r="E22" s="46"/>
      <c r="F22" s="46"/>
      <c r="G22" s="46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8" t="str">
        <f t="shared" si="0"/>
        <v/>
      </c>
      <c r="AC22" s="22" t="str">
        <f>IF(AB22="","",(AB22/AB8)*100)</f>
        <v/>
      </c>
      <c r="AD22" s="24"/>
      <c r="AE22" s="25"/>
      <c r="AF22" s="17"/>
      <c r="AG22" s="23" t="str">
        <f>IFERROR(IF(OR(AF22="",AF8=""),"",AF22/AF8),"")</f>
        <v/>
      </c>
      <c r="AH22" s="19" t="str">
        <f t="shared" si="1"/>
        <v/>
      </c>
      <c r="AI22" s="20" t="str">
        <f t="shared" si="4"/>
        <v/>
      </c>
      <c r="AJ22" s="21" t="str">
        <f t="shared" si="3"/>
        <v/>
      </c>
    </row>
    <row r="23" spans="1:36" x14ac:dyDescent="0.35">
      <c r="A23" s="16">
        <v>14</v>
      </c>
      <c r="B23" s="46" t="s">
        <v>21</v>
      </c>
      <c r="C23" s="46"/>
      <c r="D23" s="46"/>
      <c r="E23" s="46"/>
      <c r="F23" s="46"/>
      <c r="G23" s="46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8" t="str">
        <f t="shared" si="0"/>
        <v/>
      </c>
      <c r="AC23" s="22" t="str">
        <f>IF(AB23="","",(AB23/AB8)*100)</f>
        <v/>
      </c>
      <c r="AD23" s="24"/>
      <c r="AE23" s="25"/>
      <c r="AF23" s="17"/>
      <c r="AG23" s="23" t="str">
        <f>IFERROR(IF(OR(AF23="",AF8=""),"",AF23/AF8),"")</f>
        <v/>
      </c>
      <c r="AH23" s="19" t="str">
        <f t="shared" si="1"/>
        <v/>
      </c>
      <c r="AI23" s="20" t="str">
        <f t="shared" si="4"/>
        <v/>
      </c>
      <c r="AJ23" s="21" t="str">
        <f t="shared" si="3"/>
        <v/>
      </c>
    </row>
    <row r="24" spans="1:36" x14ac:dyDescent="0.35">
      <c r="A24" s="16">
        <v>15</v>
      </c>
      <c r="B24" s="46" t="s">
        <v>21</v>
      </c>
      <c r="C24" s="46"/>
      <c r="D24" s="46"/>
      <c r="E24" s="46"/>
      <c r="F24" s="46"/>
      <c r="G24" s="46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8" t="str">
        <f t="shared" si="0"/>
        <v/>
      </c>
      <c r="AC24" s="22" t="str">
        <f>IF(AB24="","",(AB24/AB8)*100)</f>
        <v/>
      </c>
      <c r="AD24" s="24"/>
      <c r="AE24" s="25"/>
      <c r="AF24" s="17"/>
      <c r="AG24" s="23" t="str">
        <f>IFERROR(IF(OR(AF24="",AF8=""),"",AF24/AF8),"")</f>
        <v/>
      </c>
      <c r="AH24" s="19" t="str">
        <f t="shared" si="1"/>
        <v/>
      </c>
      <c r="AI24" s="20" t="str">
        <f t="shared" si="4"/>
        <v/>
      </c>
      <c r="AJ24" s="21" t="str">
        <f t="shared" si="3"/>
        <v/>
      </c>
    </row>
    <row r="25" spans="1:36" x14ac:dyDescent="0.35">
      <c r="A25" s="16">
        <v>16</v>
      </c>
      <c r="B25" s="46" t="s">
        <v>21</v>
      </c>
      <c r="C25" s="46"/>
      <c r="D25" s="46"/>
      <c r="E25" s="46"/>
      <c r="F25" s="46"/>
      <c r="G25" s="46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8" t="str">
        <f t="shared" si="0"/>
        <v/>
      </c>
      <c r="AC25" s="22" t="str">
        <f>IF(AB25="","",(AB25/AB8)*100)</f>
        <v/>
      </c>
      <c r="AD25" s="24"/>
      <c r="AE25" s="25"/>
      <c r="AF25" s="17"/>
      <c r="AG25" s="23" t="str">
        <f>IFERROR(IF(OR(AF25="",AF8=""),"",AF25/AF8),"")</f>
        <v/>
      </c>
      <c r="AH25" s="19" t="str">
        <f t="shared" si="1"/>
        <v/>
      </c>
      <c r="AI25" s="20" t="str">
        <f t="shared" si="4"/>
        <v/>
      </c>
      <c r="AJ25" s="21" t="str">
        <f t="shared" si="3"/>
        <v/>
      </c>
    </row>
    <row r="26" spans="1:36" x14ac:dyDescent="0.35">
      <c r="A26" s="16">
        <v>17</v>
      </c>
      <c r="B26" s="46" t="s">
        <v>21</v>
      </c>
      <c r="C26" s="46"/>
      <c r="D26" s="46"/>
      <c r="E26" s="46"/>
      <c r="F26" s="46"/>
      <c r="G26" s="46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8" t="str">
        <f t="shared" si="0"/>
        <v/>
      </c>
      <c r="AC26" s="22" t="str">
        <f>IF(AB26="","",(AB26/AB8)*100)</f>
        <v/>
      </c>
      <c r="AD26" s="24"/>
      <c r="AE26" s="25"/>
      <c r="AF26" s="17"/>
      <c r="AG26" s="23" t="str">
        <f>IFERROR(IF(OR(AF26="",AF8=""),"",AF26/AF8),"")</f>
        <v/>
      </c>
      <c r="AH26" s="19" t="str">
        <f t="shared" si="1"/>
        <v/>
      </c>
      <c r="AI26" s="20" t="str">
        <f t="shared" si="4"/>
        <v/>
      </c>
      <c r="AJ26" s="21" t="str">
        <f t="shared" si="3"/>
        <v/>
      </c>
    </row>
    <row r="27" spans="1:36" x14ac:dyDescent="0.35">
      <c r="A27" s="16">
        <v>18</v>
      </c>
      <c r="B27" s="46" t="s">
        <v>21</v>
      </c>
      <c r="C27" s="46"/>
      <c r="D27" s="46"/>
      <c r="E27" s="46"/>
      <c r="F27" s="46"/>
      <c r="G27" s="4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8" t="str">
        <f t="shared" si="0"/>
        <v/>
      </c>
      <c r="AC27" s="22" t="str">
        <f>IF(AB27="","",(AB27/AB8)*100)</f>
        <v/>
      </c>
      <c r="AD27" s="24"/>
      <c r="AE27" s="25"/>
      <c r="AF27" s="17"/>
      <c r="AG27" s="23" t="str">
        <f>IFERROR(IF(OR(AF27="",AF8=""),"",AF27/AF8),"")</f>
        <v/>
      </c>
      <c r="AH27" s="19" t="str">
        <f t="shared" si="1"/>
        <v/>
      </c>
      <c r="AI27" s="20" t="str">
        <f t="shared" si="4"/>
        <v/>
      </c>
      <c r="AJ27" s="21" t="str">
        <f t="shared" si="3"/>
        <v/>
      </c>
    </row>
    <row r="28" spans="1:36" x14ac:dyDescent="0.35">
      <c r="A28" s="16">
        <v>19</v>
      </c>
      <c r="B28" s="46" t="s">
        <v>21</v>
      </c>
      <c r="C28" s="46"/>
      <c r="D28" s="46"/>
      <c r="E28" s="46"/>
      <c r="F28" s="46"/>
      <c r="G28" s="4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8" t="str">
        <f t="shared" si="0"/>
        <v/>
      </c>
      <c r="AC28" s="22" t="str">
        <f>IF(AB28="","",(AB28/AB8)*100)</f>
        <v/>
      </c>
      <c r="AD28" s="24"/>
      <c r="AE28" s="25"/>
      <c r="AF28" s="17"/>
      <c r="AG28" s="23" t="str">
        <f>IFERROR(IF(OR(AF28="",AF8=""),"",AF28/AF8),"")</f>
        <v/>
      </c>
      <c r="AH28" s="19" t="str">
        <f t="shared" si="1"/>
        <v/>
      </c>
      <c r="AI28" s="20" t="str">
        <f t="shared" si="4"/>
        <v/>
      </c>
      <c r="AJ28" s="21" t="str">
        <f t="shared" si="3"/>
        <v/>
      </c>
    </row>
    <row r="29" spans="1:36" x14ac:dyDescent="0.35">
      <c r="A29" s="16">
        <v>20</v>
      </c>
      <c r="B29" s="46" t="s">
        <v>21</v>
      </c>
      <c r="C29" s="46"/>
      <c r="D29" s="46"/>
      <c r="E29" s="46"/>
      <c r="F29" s="46"/>
      <c r="G29" s="4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8" t="str">
        <f t="shared" si="0"/>
        <v/>
      </c>
      <c r="AC29" s="22" t="str">
        <f>IF(AB29="","",(AB29/AB8)*100)</f>
        <v/>
      </c>
      <c r="AD29" s="24"/>
      <c r="AE29" s="25"/>
      <c r="AF29" s="17"/>
      <c r="AG29" s="23" t="str">
        <f>IFERROR(IF(OR(AF29="",AF8=""),"",AF29/AF8),"")</f>
        <v/>
      </c>
      <c r="AH29" s="19" t="str">
        <f t="shared" si="1"/>
        <v/>
      </c>
      <c r="AI29" s="20" t="str">
        <f t="shared" si="4"/>
        <v/>
      </c>
      <c r="AJ29" s="21" t="str">
        <f t="shared" si="3"/>
        <v/>
      </c>
    </row>
    <row r="30" spans="1:36" x14ac:dyDescent="0.35">
      <c r="A30" s="16">
        <v>21</v>
      </c>
      <c r="B30" s="46" t="s">
        <v>21</v>
      </c>
      <c r="C30" s="46"/>
      <c r="D30" s="46"/>
      <c r="E30" s="46"/>
      <c r="F30" s="46"/>
      <c r="G30" s="46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8" t="str">
        <f t="shared" si="0"/>
        <v/>
      </c>
      <c r="AC30" s="22" t="str">
        <f>IF(AB30="","",(AB30/AB8)*100)</f>
        <v/>
      </c>
      <c r="AD30" s="24"/>
      <c r="AE30" s="25"/>
      <c r="AF30" s="17"/>
      <c r="AG30" s="23" t="str">
        <f>IFERROR(IF(OR(AF30="",AF8=""),"",AF30/AF8),"")</f>
        <v/>
      </c>
      <c r="AH30" s="19" t="str">
        <f t="shared" si="1"/>
        <v/>
      </c>
      <c r="AI30" s="20" t="str">
        <f t="shared" si="4"/>
        <v/>
      </c>
      <c r="AJ30" s="21" t="str">
        <f t="shared" si="3"/>
        <v/>
      </c>
    </row>
    <row r="31" spans="1:36" x14ac:dyDescent="0.35">
      <c r="A31" s="16">
        <v>22</v>
      </c>
      <c r="B31" s="46" t="s">
        <v>21</v>
      </c>
      <c r="C31" s="46"/>
      <c r="D31" s="46"/>
      <c r="E31" s="46"/>
      <c r="F31" s="46"/>
      <c r="G31" s="46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8" t="str">
        <f t="shared" si="0"/>
        <v/>
      </c>
      <c r="AC31" s="22" t="str">
        <f>IF(AB31="","",(AB31/AB8)*100)</f>
        <v/>
      </c>
      <c r="AD31" s="24"/>
      <c r="AE31" s="25"/>
      <c r="AF31" s="17"/>
      <c r="AG31" s="23" t="str">
        <f>IFERROR(IF(OR(AF31="",AF8=""),"",AF31/AF8),"")</f>
        <v/>
      </c>
      <c r="AH31" s="19" t="str">
        <f t="shared" si="1"/>
        <v/>
      </c>
      <c r="AI31" s="20" t="str">
        <f t="shared" si="4"/>
        <v/>
      </c>
      <c r="AJ31" s="21" t="str">
        <f t="shared" si="3"/>
        <v/>
      </c>
    </row>
    <row r="32" spans="1:36" x14ac:dyDescent="0.35">
      <c r="A32" s="16">
        <v>23</v>
      </c>
      <c r="B32" s="46" t="s">
        <v>21</v>
      </c>
      <c r="C32" s="46"/>
      <c r="D32" s="46"/>
      <c r="E32" s="46"/>
      <c r="F32" s="46"/>
      <c r="G32" s="46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8" t="str">
        <f t="shared" si="0"/>
        <v/>
      </c>
      <c r="AC32" s="22" t="str">
        <f>IF(AB32="","",(AB32/AB8)*100)</f>
        <v/>
      </c>
      <c r="AD32" s="24"/>
      <c r="AE32" s="25"/>
      <c r="AF32" s="17"/>
      <c r="AG32" s="23" t="str">
        <f>IFERROR(IF(OR(AF32="",AF8=""),"",AF32/AF8),"")</f>
        <v/>
      </c>
      <c r="AH32" s="19" t="str">
        <f t="shared" si="1"/>
        <v/>
      </c>
      <c r="AI32" s="20" t="str">
        <f t="shared" si="4"/>
        <v/>
      </c>
      <c r="AJ32" s="21" t="str">
        <f t="shared" si="3"/>
        <v/>
      </c>
    </row>
    <row r="33" spans="1:36" x14ac:dyDescent="0.35">
      <c r="A33" s="16">
        <v>24</v>
      </c>
      <c r="B33" s="46" t="s">
        <v>21</v>
      </c>
      <c r="C33" s="46"/>
      <c r="D33" s="46"/>
      <c r="E33" s="46"/>
      <c r="F33" s="46"/>
      <c r="G33" s="46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8" t="str">
        <f t="shared" si="0"/>
        <v/>
      </c>
      <c r="AC33" s="22" t="str">
        <f>IF(AB33="","",(AB33/AB8)*100)</f>
        <v/>
      </c>
      <c r="AD33" s="24"/>
      <c r="AE33" s="25"/>
      <c r="AF33" s="17"/>
      <c r="AG33" s="23" t="str">
        <f>IFERROR(IF(OR(AF33="",AF8=""),"",AF33/AF8),"")</f>
        <v/>
      </c>
      <c r="AH33" s="19" t="str">
        <f t="shared" si="1"/>
        <v/>
      </c>
      <c r="AI33" s="20" t="str">
        <f t="shared" si="4"/>
        <v/>
      </c>
      <c r="AJ33" s="21" t="str">
        <f t="shared" si="3"/>
        <v/>
      </c>
    </row>
    <row r="34" spans="1:36" x14ac:dyDescent="0.35">
      <c r="A34" s="16">
        <v>25</v>
      </c>
      <c r="B34" s="46" t="s">
        <v>21</v>
      </c>
      <c r="C34" s="46"/>
      <c r="D34" s="46"/>
      <c r="E34" s="46"/>
      <c r="F34" s="46"/>
      <c r="G34" s="46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8" t="str">
        <f t="shared" si="0"/>
        <v/>
      </c>
      <c r="AC34" s="22" t="str">
        <f>IF(AB34="","",(AB34/AB8)*100)</f>
        <v/>
      </c>
      <c r="AD34" s="24"/>
      <c r="AE34" s="25"/>
      <c r="AF34" s="17"/>
      <c r="AG34" s="23" t="str">
        <f>IFERROR(IF(OR(AF34="",AF8=""),"",AF34/AF8),"")</f>
        <v/>
      </c>
      <c r="AH34" s="19" t="str">
        <f t="shared" si="1"/>
        <v/>
      </c>
      <c r="AI34" s="20" t="str">
        <f t="shared" si="4"/>
        <v/>
      </c>
      <c r="AJ34" s="21" t="str">
        <f t="shared" si="3"/>
        <v/>
      </c>
    </row>
    <row r="35" spans="1:36" x14ac:dyDescent="0.35">
      <c r="A35" s="16">
        <v>26</v>
      </c>
      <c r="B35" s="46" t="s">
        <v>21</v>
      </c>
      <c r="C35" s="46"/>
      <c r="D35" s="46"/>
      <c r="E35" s="46"/>
      <c r="F35" s="46"/>
      <c r="G35" s="46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8" t="str">
        <f t="shared" si="0"/>
        <v/>
      </c>
      <c r="AC35" s="22" t="str">
        <f>IF(AB35="","",(AB35/AB8)*100)</f>
        <v/>
      </c>
      <c r="AD35" s="24"/>
      <c r="AE35" s="25"/>
      <c r="AF35" s="17"/>
      <c r="AG35" s="23" t="str">
        <f>IFERROR(IF(OR(AF35="",AF8=""),"",AF35/AF8),"")</f>
        <v/>
      </c>
      <c r="AH35" s="19" t="str">
        <f t="shared" si="1"/>
        <v/>
      </c>
      <c r="AI35" s="20" t="str">
        <f t="shared" si="4"/>
        <v/>
      </c>
      <c r="AJ35" s="21" t="str">
        <f t="shared" si="3"/>
        <v/>
      </c>
    </row>
    <row r="36" spans="1:36" x14ac:dyDescent="0.35">
      <c r="A36" s="16">
        <v>27</v>
      </c>
      <c r="B36" s="46" t="s">
        <v>21</v>
      </c>
      <c r="C36" s="46"/>
      <c r="D36" s="46"/>
      <c r="E36" s="46"/>
      <c r="F36" s="46"/>
      <c r="G36" s="46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8" t="str">
        <f t="shared" si="0"/>
        <v/>
      </c>
      <c r="AC36" s="22" t="str">
        <f>IF(AB36="","",(AB36/AB8)*100)</f>
        <v/>
      </c>
      <c r="AD36" s="24"/>
      <c r="AE36" s="25"/>
      <c r="AF36" s="17"/>
      <c r="AG36" s="23" t="str">
        <f>IFERROR(IF(OR(AF36="",AF8=""),"",AF36/AF8),"")</f>
        <v/>
      </c>
      <c r="AH36" s="19" t="str">
        <f t="shared" si="1"/>
        <v/>
      </c>
      <c r="AI36" s="20" t="str">
        <f t="shared" si="4"/>
        <v/>
      </c>
      <c r="AJ36" s="21" t="str">
        <f t="shared" si="3"/>
        <v/>
      </c>
    </row>
    <row r="37" spans="1:36" x14ac:dyDescent="0.35">
      <c r="A37" s="16">
        <v>28</v>
      </c>
      <c r="B37" s="46" t="s">
        <v>21</v>
      </c>
      <c r="C37" s="46"/>
      <c r="D37" s="46"/>
      <c r="E37" s="46"/>
      <c r="F37" s="46"/>
      <c r="G37" s="46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8" t="str">
        <f t="shared" si="0"/>
        <v/>
      </c>
      <c r="AC37" s="22" t="str">
        <f>IF(AB37="","",(AB37/AB8)*100)</f>
        <v/>
      </c>
      <c r="AD37" s="24"/>
      <c r="AE37" s="25"/>
      <c r="AF37" s="17"/>
      <c r="AG37" s="23" t="str">
        <f>IFERROR(IF(OR(AF37="",AF8=""),"",AF37/AF8),"")</f>
        <v/>
      </c>
      <c r="AH37" s="19" t="str">
        <f t="shared" si="1"/>
        <v/>
      </c>
      <c r="AI37" s="20" t="str">
        <f t="shared" si="4"/>
        <v/>
      </c>
      <c r="AJ37" s="21" t="str">
        <f t="shared" si="3"/>
        <v/>
      </c>
    </row>
    <row r="38" spans="1:36" x14ac:dyDescent="0.35">
      <c r="A38" s="16">
        <v>29</v>
      </c>
      <c r="B38" s="46" t="s">
        <v>21</v>
      </c>
      <c r="C38" s="46"/>
      <c r="D38" s="46"/>
      <c r="E38" s="46"/>
      <c r="F38" s="46"/>
      <c r="G38" s="46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8" t="str">
        <f t="shared" si="0"/>
        <v/>
      </c>
      <c r="AC38" s="22" t="str">
        <f>IF(AB38="","",(AB38/AB8)*100)</f>
        <v/>
      </c>
      <c r="AD38" s="24"/>
      <c r="AE38" s="25"/>
      <c r="AF38" s="17"/>
      <c r="AG38" s="23" t="str">
        <f>IFERROR(IF(OR(AF38="",AF8=""),"",AF38/AF8),"")</f>
        <v/>
      </c>
      <c r="AH38" s="19" t="str">
        <f t="shared" si="1"/>
        <v/>
      </c>
      <c r="AI38" s="20" t="str">
        <f t="shared" si="4"/>
        <v/>
      </c>
      <c r="AJ38" s="21" t="str">
        <f t="shared" si="3"/>
        <v/>
      </c>
    </row>
    <row r="39" spans="1:36" x14ac:dyDescent="0.35">
      <c r="A39" s="16">
        <v>30</v>
      </c>
      <c r="B39" s="46" t="s">
        <v>21</v>
      </c>
      <c r="C39" s="46"/>
      <c r="D39" s="46"/>
      <c r="E39" s="46"/>
      <c r="F39" s="46"/>
      <c r="G39" s="46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8" t="str">
        <f t="shared" si="0"/>
        <v/>
      </c>
      <c r="AC39" s="22" t="str">
        <f>IF(AB39="","",(AB39/AB8)*100)</f>
        <v/>
      </c>
      <c r="AD39" s="24"/>
      <c r="AE39" s="25"/>
      <c r="AF39" s="17"/>
      <c r="AG39" s="23" t="str">
        <f>IFERROR(IF(OR(AF39="",AF8=""),"",AF39/AF8),"")</f>
        <v/>
      </c>
      <c r="AH39" s="19" t="str">
        <f t="shared" si="1"/>
        <v/>
      </c>
      <c r="AI39" s="20" t="str">
        <f t="shared" si="4"/>
        <v/>
      </c>
      <c r="AJ39" s="21" t="str">
        <f t="shared" si="3"/>
        <v/>
      </c>
    </row>
    <row r="40" spans="1:36" x14ac:dyDescent="0.35">
      <c r="A40" s="16">
        <v>31</v>
      </c>
      <c r="B40" s="46" t="s">
        <v>21</v>
      </c>
      <c r="C40" s="46"/>
      <c r="D40" s="46"/>
      <c r="E40" s="46"/>
      <c r="F40" s="46"/>
      <c r="G40" s="46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8" t="str">
        <f t="shared" si="0"/>
        <v/>
      </c>
      <c r="AC40" s="22" t="str">
        <f>IF(AB40="","",(AB40/AB8)*100)</f>
        <v/>
      </c>
      <c r="AD40" s="24"/>
      <c r="AE40" s="25"/>
      <c r="AF40" s="17"/>
      <c r="AG40" s="23" t="str">
        <f>IFERROR(IF(OR(AF40="",AF8=""),"",AF40/AF8),"")</f>
        <v/>
      </c>
      <c r="AH40" s="19" t="str">
        <f t="shared" si="1"/>
        <v/>
      </c>
      <c r="AI40" s="20" t="str">
        <f t="shared" si="4"/>
        <v/>
      </c>
      <c r="AJ40" s="21" t="str">
        <f t="shared" si="3"/>
        <v/>
      </c>
    </row>
    <row r="41" spans="1:36" x14ac:dyDescent="0.35">
      <c r="A41" s="16">
        <v>32</v>
      </c>
      <c r="B41" s="46" t="s">
        <v>21</v>
      </c>
      <c r="C41" s="46"/>
      <c r="D41" s="46"/>
      <c r="E41" s="46"/>
      <c r="F41" s="46"/>
      <c r="G41" s="46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8" t="str">
        <f t="shared" si="0"/>
        <v/>
      </c>
      <c r="AC41" s="22" t="str">
        <f>IF(AB41="","",(AB41/AB8)*100)</f>
        <v/>
      </c>
      <c r="AD41" s="24"/>
      <c r="AE41" s="25"/>
      <c r="AF41" s="17"/>
      <c r="AG41" s="23" t="str">
        <f>IFERROR(IF(OR(AF41="",AF8=""),"",AF41/AF8),"")</f>
        <v/>
      </c>
      <c r="AH41" s="19" t="str">
        <f t="shared" si="1"/>
        <v/>
      </c>
      <c r="AI41" s="20" t="str">
        <f t="shared" si="4"/>
        <v/>
      </c>
      <c r="AJ41" s="21" t="str">
        <f t="shared" si="3"/>
        <v/>
      </c>
    </row>
    <row r="42" spans="1:36" x14ac:dyDescent="0.35">
      <c r="A42" s="16">
        <v>33</v>
      </c>
      <c r="B42" s="46" t="s">
        <v>21</v>
      </c>
      <c r="C42" s="46"/>
      <c r="D42" s="46"/>
      <c r="E42" s="46"/>
      <c r="F42" s="46"/>
      <c r="G42" s="46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8" t="str">
        <f t="shared" si="0"/>
        <v/>
      </c>
      <c r="AC42" s="22" t="str">
        <f>IF(AB42="","",(AB42/AB8)*100)</f>
        <v/>
      </c>
      <c r="AD42" s="24"/>
      <c r="AE42" s="25"/>
      <c r="AF42" s="17"/>
      <c r="AG42" s="23" t="str">
        <f>IFERROR(IF(OR(AF42="",AF8=""),"",AF42/AF8),"")</f>
        <v/>
      </c>
      <c r="AH42" s="19" t="str">
        <f t="shared" si="1"/>
        <v/>
      </c>
      <c r="AI42" s="20" t="str">
        <f t="shared" si="4"/>
        <v/>
      </c>
      <c r="AJ42" s="21" t="str">
        <f t="shared" si="3"/>
        <v/>
      </c>
    </row>
    <row r="43" spans="1:36" x14ac:dyDescent="0.35">
      <c r="A43" s="16">
        <v>34</v>
      </c>
      <c r="B43" s="46" t="s">
        <v>21</v>
      </c>
      <c r="C43" s="46"/>
      <c r="D43" s="46"/>
      <c r="E43" s="46"/>
      <c r="F43" s="46"/>
      <c r="G43" s="46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8" t="str">
        <f t="shared" si="0"/>
        <v/>
      </c>
      <c r="AC43" s="22" t="str">
        <f>IF(AB43="","",(AB43/AB8)*100)</f>
        <v/>
      </c>
      <c r="AD43" s="24"/>
      <c r="AE43" s="25"/>
      <c r="AF43" s="17"/>
      <c r="AG43" s="23" t="str">
        <f>IFERROR(IF(OR(AF43="",AF8=""),"",AF43/AF8),"")</f>
        <v/>
      </c>
      <c r="AH43" s="19" t="str">
        <f t="shared" si="1"/>
        <v/>
      </c>
      <c r="AI43" s="20" t="str">
        <f t="shared" si="4"/>
        <v/>
      </c>
      <c r="AJ43" s="21" t="str">
        <f t="shared" si="3"/>
        <v/>
      </c>
    </row>
    <row r="44" spans="1:36" x14ac:dyDescent="0.35">
      <c r="A44" s="16">
        <v>35</v>
      </c>
      <c r="B44" s="46" t="s">
        <v>21</v>
      </c>
      <c r="C44" s="46"/>
      <c r="D44" s="46"/>
      <c r="E44" s="46"/>
      <c r="F44" s="46"/>
      <c r="G44" s="46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8" t="str">
        <f t="shared" si="0"/>
        <v/>
      </c>
      <c r="AC44" s="22" t="str">
        <f>IF(AB44="","",(AB44/AB8)*100)</f>
        <v/>
      </c>
      <c r="AD44" s="24"/>
      <c r="AE44" s="25"/>
      <c r="AF44" s="17"/>
      <c r="AG44" s="23" t="str">
        <f>IFERROR(IF(OR(AF44="",AF8=""),"",AF44/AF8),"")</f>
        <v/>
      </c>
      <c r="AH44" s="19" t="str">
        <f t="shared" si="1"/>
        <v/>
      </c>
      <c r="AI44" s="20" t="str">
        <f t="shared" si="4"/>
        <v/>
      </c>
      <c r="AJ44" s="21" t="str">
        <f t="shared" si="3"/>
        <v/>
      </c>
    </row>
    <row r="45" spans="1:36" x14ac:dyDescent="0.35">
      <c r="A45" s="16">
        <v>36</v>
      </c>
      <c r="B45" s="46" t="s">
        <v>21</v>
      </c>
      <c r="C45" s="46"/>
      <c r="D45" s="46"/>
      <c r="E45" s="46"/>
      <c r="F45" s="46"/>
      <c r="G45" s="46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8" t="str">
        <f t="shared" si="0"/>
        <v/>
      </c>
      <c r="AC45" s="22" t="str">
        <f>IF(AB45="","",(AB45/AB8)*100)</f>
        <v/>
      </c>
      <c r="AD45" s="24"/>
      <c r="AE45" s="25"/>
      <c r="AF45" s="17"/>
      <c r="AG45" s="23" t="str">
        <f>IFERROR(IF(OR(AF45="",AF8=""),"",AF45/AF8),"")</f>
        <v/>
      </c>
      <c r="AH45" s="19" t="str">
        <f t="shared" si="1"/>
        <v/>
      </c>
      <c r="AI45" s="20" t="str">
        <f t="shared" si="4"/>
        <v/>
      </c>
      <c r="AJ45" s="21" t="str">
        <f t="shared" si="3"/>
        <v/>
      </c>
    </row>
    <row r="46" spans="1:36" x14ac:dyDescent="0.35">
      <c r="A46" s="16">
        <v>37</v>
      </c>
      <c r="B46" s="46" t="s">
        <v>21</v>
      </c>
      <c r="C46" s="46"/>
      <c r="D46" s="46"/>
      <c r="E46" s="46"/>
      <c r="F46" s="46"/>
      <c r="G46" s="46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8" t="str">
        <f t="shared" si="0"/>
        <v/>
      </c>
      <c r="AC46" s="22" t="str">
        <f>IF(AB46="","",(AB46/AB8)*100)</f>
        <v/>
      </c>
      <c r="AD46" s="24"/>
      <c r="AE46" s="25"/>
      <c r="AF46" s="17"/>
      <c r="AG46" s="23" t="str">
        <f>IFERROR(IF(OR(AF46="",AF8=""),"",AF46/AF8),"")</f>
        <v/>
      </c>
      <c r="AH46" s="19" t="str">
        <f t="shared" si="1"/>
        <v/>
      </c>
      <c r="AI46" s="20" t="str">
        <f t="shared" si="4"/>
        <v/>
      </c>
      <c r="AJ46" s="21" t="str">
        <f t="shared" si="3"/>
        <v/>
      </c>
    </row>
    <row r="47" spans="1:36" x14ac:dyDescent="0.35">
      <c r="A47" s="16">
        <v>38</v>
      </c>
      <c r="B47" s="46" t="s">
        <v>21</v>
      </c>
      <c r="C47" s="46"/>
      <c r="D47" s="46"/>
      <c r="E47" s="46"/>
      <c r="F47" s="46"/>
      <c r="G47" s="46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8" t="str">
        <f t="shared" si="0"/>
        <v/>
      </c>
      <c r="AC47" s="22" t="str">
        <f>IF(AB47="","",(AB47/AB8)*100)</f>
        <v/>
      </c>
      <c r="AD47" s="24"/>
      <c r="AE47" s="25"/>
      <c r="AF47" s="17"/>
      <c r="AG47" s="23" t="str">
        <f>IFERROR(IF(OR(AF47="",AF8=""),"",AF47/AF8),"")</f>
        <v/>
      </c>
      <c r="AH47" s="19" t="str">
        <f t="shared" si="1"/>
        <v/>
      </c>
      <c r="AI47" s="20" t="str">
        <f t="shared" si="4"/>
        <v/>
      </c>
      <c r="AJ47" s="21" t="str">
        <f t="shared" si="3"/>
        <v/>
      </c>
    </row>
    <row r="48" spans="1:36" x14ac:dyDescent="0.35">
      <c r="A48" s="16">
        <v>39</v>
      </c>
      <c r="B48" s="46" t="s">
        <v>21</v>
      </c>
      <c r="C48" s="46"/>
      <c r="D48" s="46"/>
      <c r="E48" s="46"/>
      <c r="F48" s="46"/>
      <c r="G48" s="46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8" t="str">
        <f t="shared" si="0"/>
        <v/>
      </c>
      <c r="AC48" s="22" t="str">
        <f>IF(AB48="","",(AB48/AB8)*100)</f>
        <v/>
      </c>
      <c r="AD48" s="24"/>
      <c r="AE48" s="25"/>
      <c r="AF48" s="17"/>
      <c r="AG48" s="23" t="str">
        <f>IFERROR(IF(OR(AF48="",AF8=""),"",AF48/AF8),"")</f>
        <v/>
      </c>
      <c r="AH48" s="19" t="str">
        <f t="shared" si="1"/>
        <v/>
      </c>
      <c r="AI48" s="20" t="str">
        <f t="shared" si="4"/>
        <v/>
      </c>
      <c r="AJ48" s="21" t="str">
        <f t="shared" si="3"/>
        <v/>
      </c>
    </row>
    <row r="49" spans="1:36" x14ac:dyDescent="0.35">
      <c r="A49" s="16">
        <v>40</v>
      </c>
      <c r="B49" s="46" t="s">
        <v>21</v>
      </c>
      <c r="C49" s="46"/>
      <c r="D49" s="46"/>
      <c r="E49" s="46"/>
      <c r="F49" s="46"/>
      <c r="G49" s="46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8" t="str">
        <f t="shared" si="0"/>
        <v/>
      </c>
      <c r="AC49" s="22" t="str">
        <f>IF(AB49="","",(AB49/AB8)*100)</f>
        <v/>
      </c>
      <c r="AD49" s="24"/>
      <c r="AE49" s="25"/>
      <c r="AF49" s="17"/>
      <c r="AG49" s="23" t="str">
        <f>IFERROR(IF(OR(AF49="",AF8=""),"",AF49/AF8),"")</f>
        <v/>
      </c>
      <c r="AH49" s="19" t="str">
        <f t="shared" si="1"/>
        <v/>
      </c>
      <c r="AI49" s="20" t="str">
        <f t="shared" si="4"/>
        <v/>
      </c>
      <c r="AJ49" s="21" t="str">
        <f t="shared" si="3"/>
        <v/>
      </c>
    </row>
    <row r="50" spans="1:36" x14ac:dyDescent="0.35">
      <c r="A50" s="16">
        <v>41</v>
      </c>
      <c r="B50" s="46" t="s">
        <v>21</v>
      </c>
      <c r="C50" s="46"/>
      <c r="D50" s="46"/>
      <c r="E50" s="46"/>
      <c r="F50" s="46"/>
      <c r="G50" s="46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8" t="str">
        <f t="shared" si="0"/>
        <v/>
      </c>
      <c r="AC50" s="22" t="str">
        <f>IF(AB50="","",(AB50/AB8)*100)</f>
        <v/>
      </c>
      <c r="AD50" s="24"/>
      <c r="AE50" s="25"/>
      <c r="AF50" s="17"/>
      <c r="AG50" s="23" t="str">
        <f>IFERROR(IF(OR(AF50="",AF8=""),"",AF50/AF8),"")</f>
        <v/>
      </c>
      <c r="AH50" s="19" t="str">
        <f t="shared" si="1"/>
        <v/>
      </c>
      <c r="AI50" s="20" t="str">
        <f t="shared" si="4"/>
        <v/>
      </c>
      <c r="AJ50" s="21" t="str">
        <f t="shared" si="3"/>
        <v/>
      </c>
    </row>
    <row r="51" spans="1:36" x14ac:dyDescent="0.35">
      <c r="A51" s="16">
        <v>42</v>
      </c>
      <c r="B51" s="46" t="s">
        <v>21</v>
      </c>
      <c r="C51" s="46"/>
      <c r="D51" s="46"/>
      <c r="E51" s="46"/>
      <c r="F51" s="46"/>
      <c r="G51" s="46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8" t="str">
        <f t="shared" si="0"/>
        <v/>
      </c>
      <c r="AC51" s="22" t="str">
        <f>IF(AB51="","",(AB51/AB8)*100)</f>
        <v/>
      </c>
      <c r="AD51" s="24"/>
      <c r="AE51" s="25"/>
      <c r="AF51" s="17"/>
      <c r="AG51" s="23" t="str">
        <f>IFERROR(IF(OR(AF51="",AF8=""),"",AF51/AF8),"")</f>
        <v/>
      </c>
      <c r="AH51" s="19" t="str">
        <f t="shared" si="1"/>
        <v/>
      </c>
      <c r="AI51" s="20" t="str">
        <f t="shared" si="4"/>
        <v/>
      </c>
      <c r="AJ51" s="21" t="str">
        <f t="shared" si="3"/>
        <v/>
      </c>
    </row>
    <row r="52" spans="1:36" x14ac:dyDescent="0.35">
      <c r="A52" s="16">
        <v>43</v>
      </c>
      <c r="B52" s="46" t="s">
        <v>21</v>
      </c>
      <c r="C52" s="46"/>
      <c r="D52" s="46"/>
      <c r="E52" s="46"/>
      <c r="F52" s="46"/>
      <c r="G52" s="46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8" t="str">
        <f t="shared" si="0"/>
        <v/>
      </c>
      <c r="AC52" s="22" t="str">
        <f>IF(AB52="","",(AB52/AB8)*100)</f>
        <v/>
      </c>
      <c r="AD52" s="24"/>
      <c r="AE52" s="25"/>
      <c r="AF52" s="17"/>
      <c r="AG52" s="23" t="str">
        <f>IFERROR(IF(OR(AF52="",AF8=""),"",AF52/AF8),"")</f>
        <v/>
      </c>
      <c r="AH52" s="19" t="str">
        <f t="shared" si="1"/>
        <v/>
      </c>
      <c r="AI52" s="20" t="str">
        <f t="shared" si="4"/>
        <v/>
      </c>
      <c r="AJ52" s="21" t="str">
        <f t="shared" si="3"/>
        <v/>
      </c>
    </row>
    <row r="53" spans="1:36" x14ac:dyDescent="0.35">
      <c r="A53" s="16">
        <v>44</v>
      </c>
      <c r="B53" s="46" t="s">
        <v>21</v>
      </c>
      <c r="C53" s="46"/>
      <c r="D53" s="46"/>
      <c r="E53" s="46"/>
      <c r="F53" s="46"/>
      <c r="G53" s="46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8" t="str">
        <f t="shared" si="0"/>
        <v/>
      </c>
      <c r="AC53" s="22" t="str">
        <f>IF(AB53="","",(AB53/AB8)*100)</f>
        <v/>
      </c>
      <c r="AD53" s="24"/>
      <c r="AE53" s="25"/>
      <c r="AF53" s="17"/>
      <c r="AG53" s="23" t="str">
        <f>IFERROR(IF(OR(AF53="",AF8=""),"",AF53/AF8),"")</f>
        <v/>
      </c>
      <c r="AH53" s="19" t="str">
        <f t="shared" si="1"/>
        <v/>
      </c>
      <c r="AI53" s="20" t="str">
        <f t="shared" si="4"/>
        <v/>
      </c>
      <c r="AJ53" s="21" t="str">
        <f t="shared" si="3"/>
        <v/>
      </c>
    </row>
    <row r="54" spans="1:36" x14ac:dyDescent="0.35">
      <c r="A54" s="16">
        <v>45</v>
      </c>
      <c r="B54" s="46" t="s">
        <v>21</v>
      </c>
      <c r="C54" s="46"/>
      <c r="D54" s="46"/>
      <c r="E54" s="46"/>
      <c r="F54" s="46"/>
      <c r="G54" s="46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8" t="str">
        <f t="shared" si="0"/>
        <v/>
      </c>
      <c r="AC54" s="22" t="str">
        <f>IF(AB54="","",(AB54/AB8)*100)</f>
        <v/>
      </c>
      <c r="AD54" s="24"/>
      <c r="AE54" s="25"/>
      <c r="AF54" s="17"/>
      <c r="AG54" s="23" t="str">
        <f>IFERROR(IF(OR(AF54="",AF8=""),"",AF54/AF8),"")</f>
        <v/>
      </c>
      <c r="AH54" s="19" t="str">
        <f t="shared" si="1"/>
        <v/>
      </c>
      <c r="AI54" s="20" t="str">
        <f t="shared" si="4"/>
        <v/>
      </c>
      <c r="AJ54" s="21" t="str">
        <f t="shared" si="3"/>
        <v/>
      </c>
    </row>
    <row r="55" spans="1:36" x14ac:dyDescent="0.35">
      <c r="A55" s="16">
        <v>46</v>
      </c>
      <c r="B55" s="46" t="s">
        <v>21</v>
      </c>
      <c r="C55" s="46"/>
      <c r="D55" s="46"/>
      <c r="E55" s="46"/>
      <c r="F55" s="46"/>
      <c r="G55" s="46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8" t="str">
        <f t="shared" si="0"/>
        <v/>
      </c>
      <c r="AC55" s="22" t="str">
        <f>IF(AB55="","",(AB55/AB8)*100)</f>
        <v/>
      </c>
      <c r="AD55" s="24"/>
      <c r="AE55" s="25"/>
      <c r="AF55" s="17"/>
      <c r="AG55" s="23" t="str">
        <f>IFERROR(IF(OR(AF55="",AF8=""),"",AF55/AF8),"")</f>
        <v/>
      </c>
      <c r="AH55" s="19" t="str">
        <f t="shared" si="1"/>
        <v/>
      </c>
      <c r="AI55" s="20" t="str">
        <f t="shared" si="4"/>
        <v/>
      </c>
      <c r="AJ55" s="21" t="str">
        <f t="shared" si="3"/>
        <v/>
      </c>
    </row>
    <row r="56" spans="1:36" x14ac:dyDescent="0.35">
      <c r="A56" s="16">
        <v>47</v>
      </c>
      <c r="B56" s="46" t="s">
        <v>21</v>
      </c>
      <c r="C56" s="46"/>
      <c r="D56" s="46"/>
      <c r="E56" s="46"/>
      <c r="F56" s="46"/>
      <c r="G56" s="46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8" t="str">
        <f t="shared" si="0"/>
        <v/>
      </c>
      <c r="AC56" s="22" t="str">
        <f>IF(AB56="","",(AB56/AB8)*100)</f>
        <v/>
      </c>
      <c r="AD56" s="24"/>
      <c r="AE56" s="25"/>
      <c r="AF56" s="17"/>
      <c r="AG56" s="23" t="str">
        <f>IFERROR(IF(OR(AF56="",AF8=""),"",AF56/AF8),"")</f>
        <v/>
      </c>
      <c r="AH56" s="19" t="str">
        <f t="shared" si="1"/>
        <v/>
      </c>
      <c r="AI56" s="20" t="str">
        <f t="shared" si="4"/>
        <v/>
      </c>
      <c r="AJ56" s="21" t="str">
        <f t="shared" si="3"/>
        <v/>
      </c>
    </row>
    <row r="57" spans="1:36" x14ac:dyDescent="0.35">
      <c r="A57" s="16">
        <v>48</v>
      </c>
      <c r="B57" s="46" t="s">
        <v>21</v>
      </c>
      <c r="C57" s="46"/>
      <c r="D57" s="46"/>
      <c r="E57" s="46"/>
      <c r="F57" s="46"/>
      <c r="G57" s="46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8" t="str">
        <f t="shared" si="0"/>
        <v/>
      </c>
      <c r="AC57" s="22" t="str">
        <f>IF(AB57="","",(AB57/AB8)*100)</f>
        <v/>
      </c>
      <c r="AD57" s="24"/>
      <c r="AE57" s="25"/>
      <c r="AF57" s="17"/>
      <c r="AG57" s="23" t="str">
        <f>IFERROR(IF(OR(AF57="",AF8=""),"",AF57/AF8),"")</f>
        <v/>
      </c>
      <c r="AH57" s="19" t="str">
        <f t="shared" si="1"/>
        <v/>
      </c>
      <c r="AI57" s="20" t="str">
        <f t="shared" si="4"/>
        <v/>
      </c>
      <c r="AJ57" s="21" t="str">
        <f t="shared" si="3"/>
        <v/>
      </c>
    </row>
    <row r="58" spans="1:36" x14ac:dyDescent="0.35">
      <c r="A58" s="16">
        <v>49</v>
      </c>
      <c r="B58" s="46" t="s">
        <v>21</v>
      </c>
      <c r="C58" s="46"/>
      <c r="D58" s="46"/>
      <c r="E58" s="46"/>
      <c r="F58" s="46"/>
      <c r="G58" s="46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8" t="str">
        <f t="shared" si="0"/>
        <v/>
      </c>
      <c r="AC58" s="22" t="str">
        <f>IF(AB58="","",(AB58/AB8)*100)</f>
        <v/>
      </c>
      <c r="AD58" s="24"/>
      <c r="AE58" s="25"/>
      <c r="AF58" s="17"/>
      <c r="AG58" s="23" t="str">
        <f>IFERROR(IF(OR(AF58="",AF8=""),"",AF58/AF8),"")</f>
        <v/>
      </c>
      <c r="AH58" s="19" t="str">
        <f t="shared" si="1"/>
        <v/>
      </c>
      <c r="AI58" s="20" t="str">
        <f t="shared" si="4"/>
        <v/>
      </c>
      <c r="AJ58" s="21" t="str">
        <f t="shared" si="3"/>
        <v/>
      </c>
    </row>
    <row r="59" spans="1:36" x14ac:dyDescent="0.35">
      <c r="A59" s="16">
        <v>50</v>
      </c>
      <c r="B59" s="46" t="s">
        <v>21</v>
      </c>
      <c r="C59" s="46"/>
      <c r="D59" s="46"/>
      <c r="E59" s="46"/>
      <c r="F59" s="46"/>
      <c r="G59" s="46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8" t="str">
        <f t="shared" si="0"/>
        <v/>
      </c>
      <c r="AC59" s="22" t="str">
        <f>IF(AB59="","",(AB59/AB8)*100)</f>
        <v/>
      </c>
      <c r="AD59" s="24"/>
      <c r="AE59" s="25"/>
      <c r="AF59" s="17"/>
      <c r="AG59" s="23" t="str">
        <f>IFERROR(IF(OR(AF59="",AF8=""),"",AF59/AF8),"")</f>
        <v/>
      </c>
      <c r="AH59" s="19" t="str">
        <f t="shared" si="1"/>
        <v/>
      </c>
      <c r="AI59" s="20" t="str">
        <f t="shared" si="4"/>
        <v/>
      </c>
      <c r="AJ59" s="21" t="str">
        <f t="shared" si="3"/>
        <v/>
      </c>
    </row>
  </sheetData>
  <mergeCells count="68">
    <mergeCell ref="B58:G58"/>
    <mergeCell ref="B59:G59"/>
    <mergeCell ref="B52:G52"/>
    <mergeCell ref="B53:G53"/>
    <mergeCell ref="B54:G54"/>
    <mergeCell ref="B55:G55"/>
    <mergeCell ref="B56:G56"/>
    <mergeCell ref="B57:G57"/>
    <mergeCell ref="B51:G51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  <mergeCell ref="B49:G49"/>
    <mergeCell ref="B50:G50"/>
    <mergeCell ref="B39:G39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8:G38"/>
    <mergeCell ref="B27:G27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15:G15"/>
    <mergeCell ref="AG7:AG9"/>
    <mergeCell ref="AH7:AH9"/>
    <mergeCell ref="AI7:AI9"/>
    <mergeCell ref="AJ7:AJ9"/>
    <mergeCell ref="B10:G10"/>
    <mergeCell ref="B11:G11"/>
    <mergeCell ref="B12:G12"/>
    <mergeCell ref="B13:G13"/>
    <mergeCell ref="B14:G14"/>
    <mergeCell ref="A8:A9"/>
    <mergeCell ref="B8:G9"/>
    <mergeCell ref="AB8:AB9"/>
    <mergeCell ref="AF8:AF9"/>
    <mergeCell ref="D1:G1"/>
    <mergeCell ref="C2:G2"/>
    <mergeCell ref="A5:G5"/>
    <mergeCell ref="H5:AJ5"/>
    <mergeCell ref="H6:AJ6"/>
    <mergeCell ref="A7:G7"/>
    <mergeCell ref="H7:AA7"/>
    <mergeCell ref="AC7:AC9"/>
    <mergeCell ref="AD7:AD8"/>
    <mergeCell ref="AE7:AE8"/>
  </mergeCells>
  <conditionalFormatting sqref="B10:G59">
    <cfRule type="containsText" dxfId="8" priority="5" operator="containsText" text="FINISHED W/ MARKS">
      <formula>NOT(ISERROR(SEARCH("FINISHED W/ MARKS",B10)))</formula>
    </cfRule>
    <cfRule type="containsText" dxfId="7" priority="6" operator="containsText" text="TRANSFERRED ">
      <formula>NOT(ISERROR(SEARCH("TRANSFERRED ",B10)))</formula>
    </cfRule>
    <cfRule type="containsText" dxfId="6" priority="7" operator="containsText" text="PENDING ENROLLMENT">
      <formula>NOT(ISERROR(SEARCH("PENDING ENROLLMENT",B10)))</formula>
    </cfRule>
    <cfRule type="containsText" dxfId="5" priority="8" operator="containsText" text="UNENROLLED">
      <formula>NOT(ISERROR(SEARCH("UNENROLLED",B10)))</formula>
    </cfRule>
    <cfRule type="containsText" dxfId="4" priority="9" operator="containsText" text="NOT ENROLLED">
      <formula>NOT(ISERROR(SEARCH("NOT ENROLLED",B10)))</formula>
    </cfRule>
  </conditionalFormatting>
  <conditionalFormatting sqref="H10:AA59">
    <cfRule type="cellIs" dxfId="3" priority="4" operator="equal">
      <formula>0</formula>
    </cfRule>
  </conditionalFormatting>
  <conditionalFormatting sqref="AF10:AF59">
    <cfRule type="cellIs" dxfId="2" priority="3" operator="equal">
      <formula>0</formula>
    </cfRule>
  </conditionalFormatting>
  <conditionalFormatting sqref="AJ10:AJ59">
    <cfRule type="cellIs" dxfId="1" priority="1" operator="equal">
      <formula>"FAILED"</formula>
    </cfRule>
    <cfRule type="cellIs" dxfId="0" priority="2" operator="equal">
      <formula>"PASSED"</formula>
    </cfRule>
  </conditionalFormatting>
  <dataValidations count="23">
    <dataValidation type="decimal" allowBlank="1" showInputMessage="1" showErrorMessage="1" errorTitle="INVALID ENTRY" error="CHECK THE VALUE YOU'VE ENTERED, IT SHOULD NOT GO BEYOND THE PERFECT SCORE OR BELOW ZERO (0)." sqref="Z10:Z59" xr:uid="{2A194380-CAE2-4547-8B9D-CAEDEA7BDB34}">
      <formula1>0</formula1>
      <formula2>$Z$9</formula2>
    </dataValidation>
    <dataValidation type="decimal" allowBlank="1" showInputMessage="1" showErrorMessage="1" errorTitle="INVALID ENTRY" error="CHECK THE VALUE YOU'VE ENTERED, IT SHOULD NOT GO BEYOND THE PERFECT SCORE OR BELOW ZERO (0)." sqref="Y10:Y59" xr:uid="{150FBAE8-2A7E-499C-87A2-1ED2926BBE74}">
      <formula1>0</formula1>
      <formula2>$Y$9</formula2>
    </dataValidation>
    <dataValidation type="decimal" allowBlank="1" showInputMessage="1" showErrorMessage="1" errorTitle="INVALID ENTRY" error="CHECK THE VALUE YOU'VE ENTERED, IT SHOULD NOT GO BEYOND THE PERFECT SCORE OR BELOW ZERO (0)." sqref="X10:X59" xr:uid="{A38236C5-6FE6-4125-8A53-C463C722A9D6}">
      <formula1>0</formula1>
      <formula2>$X$9</formula2>
    </dataValidation>
    <dataValidation type="decimal" allowBlank="1" showInputMessage="1" showErrorMessage="1" errorTitle="INVALID ENTRY" error="CHECK THE VALUE YOU'VE ENTERED, IT SHOULD NOT GO BEYOND THE PERFECT SCORE OR BELOW ZERO (0)." sqref="V10:V59" xr:uid="{1E868463-11EA-4A09-90E1-963FC72C689C}">
      <formula1>0</formula1>
      <formula2>$V$9</formula2>
    </dataValidation>
    <dataValidation type="decimal" allowBlank="1" showInputMessage="1" showErrorMessage="1" errorTitle="INVALID ENTRY" error="CHECK THE VALUE YOU'VE ENTERED, IT SHOULD NOT GO BEYOND THE PERFECT SCORE OR BELOW ZERO (0)." sqref="U10:U59" xr:uid="{ADCD958A-EE00-49AF-B36E-E62AC7350FC9}">
      <formula1>0</formula1>
      <formula2>$U$9</formula2>
    </dataValidation>
    <dataValidation type="decimal" allowBlank="1" showInputMessage="1" showErrorMessage="1" errorTitle="INVALID ENTRY" error="CHECK THE VALUE YOU'VE ENTERED, IT SHOULD NOT GO BEYOND THE PERFECT SCORE OR BELOW ZERO (0)." sqref="T10:T59" xr:uid="{DD667CD4-23AE-4785-89D7-A04D8A503C75}">
      <formula1>0</formula1>
      <formula2>$T$9</formula2>
    </dataValidation>
    <dataValidation type="decimal" allowBlank="1" showInputMessage="1" showErrorMessage="1" errorTitle="INVALID ENTRY" error="CHECK THE VALUE YOU'VE ENTERED, IT SHOULD NOT GO BEYOND THE PERFECT SCORE OR BELOW ZERO (0)." sqref="S10:S59" xr:uid="{68773BD6-4ED1-4E19-B7DB-9096213C0128}">
      <formula1>0</formula1>
      <formula2>$S$9</formula2>
    </dataValidation>
    <dataValidation type="decimal" allowBlank="1" showInputMessage="1" showErrorMessage="1" errorTitle="INVALID ENTRY" error="CHECK THE VALUE YOU'VE ENTERED, IT SHOULD NOT GO BEYOND THE PERFECT SCORE OR BELOW ZERO (0)." sqref="R10:R59" xr:uid="{6BBB0697-7C4A-450C-A841-7058A037EACA}">
      <formula1>0</formula1>
      <formula2>$R$9</formula2>
    </dataValidation>
    <dataValidation type="decimal" allowBlank="1" showInputMessage="1" showErrorMessage="1" errorTitle="INVALID ENTRY" error="CHECK THE VALUE YOU'VE ENTERED, IT SHOULD NOT GO BEYOND THE PERFECT SCORE OR BELOW ZERO (0)." sqref="Q10:Q59" xr:uid="{4B3EA9F5-E0F1-4919-9024-67C067619050}">
      <formula1>0</formula1>
      <formula2>$Q$9</formula2>
    </dataValidation>
    <dataValidation type="decimal" allowBlank="1" showInputMessage="1" showErrorMessage="1" errorTitle="INVALID ENTRY" error="CHECK THE VALUE YOU'VE ENTERED, IT SHOULD NOT GO BEYOND THE PERFECT SCORE OR BELOW ZERO (0)." sqref="P29:P59" xr:uid="{F07E645B-2B42-497F-8262-F9A8CD04C29E}">
      <formula1>0</formula1>
      <formula2>$P$9</formula2>
    </dataValidation>
    <dataValidation type="decimal" allowBlank="1" showInputMessage="1" showErrorMessage="1" errorTitle="INVALID ENTRY" error="CHECK THE VALUE YOU'VE ENTERED, IT SHOULD NOT GO BEYOND THE PERFECT SCORE OR BELOW ZERO (0)." sqref="O29:O59" xr:uid="{94A85C40-0578-4B90-BC7C-94BCFB6822C5}">
      <formula1>0</formula1>
      <formula2>$O$9</formula2>
    </dataValidation>
    <dataValidation type="decimal" allowBlank="1" showInputMessage="1" showErrorMessage="1" errorTitle="INVALID ENTRY" error="CHECK THE VALUE YOU'VE ENTERED, IT SHOULD NOT GO BEYOND THE PERFECT SCORE OR BELOW ZERO (0)." sqref="N29:N59" xr:uid="{258C0035-9C85-4AC4-AD36-E1DE975802D0}">
      <formula1>0</formula1>
      <formula2>$N$9</formula2>
    </dataValidation>
    <dataValidation type="decimal" allowBlank="1" showInputMessage="1" showErrorMessage="1" errorTitle="INVALID ENTRY" error="CHECK THE VALUE YOU'VE ENTERED, IT SHOULD NOT GO BEYOND THE PERFECT SCORE OR BELOW ZERO (0)." sqref="L29:L59" xr:uid="{FE688245-973C-4462-A70D-97F64DC0F876}">
      <formula1>0</formula1>
      <formula2>$L$9</formula2>
    </dataValidation>
    <dataValidation type="decimal" allowBlank="1" showInputMessage="1" showErrorMessage="1" errorTitle="INVALID ENTRY" error="CHECK THE VALUE YOU'VE ENTERED, IT SHOULD NOT GO BEYOND THE PERFECT SCORE OR BELOW ZERO (0)." sqref="K29:K59" xr:uid="{594CD40B-E579-45CB-8907-1EFD2F003D29}">
      <formula1>0</formula1>
      <formula2>$K$9</formula2>
    </dataValidation>
    <dataValidation type="decimal" allowBlank="1" showInputMessage="1" showErrorMessage="1" errorTitle="INVALID ENTRY" error="CHECK THE VALUE YOU'VE ENTERED, IT SHOULD NOT GO BEYOND THE PERFECT SCORE OR BELOW ZERO (0)." sqref="J29:J59" xr:uid="{E67F18C9-2BEF-4BF5-925E-8BB5D71ACEFC}">
      <formula1>0</formula1>
      <formula2>$J$9</formula2>
    </dataValidation>
    <dataValidation type="decimal" allowBlank="1" showInputMessage="1" showErrorMessage="1" errorTitle="INVALID ENTRY" error="CHECK THE VALUE YOU'VE ENTERED, IT SHOULD NOT GO BEYOND THE PERFECT SCORE OR BELOW ZERO (0)." sqref="I29:I59" xr:uid="{F54860D7-AB2D-4F80-A572-CA17C488D982}">
      <formula1>0</formula1>
      <formula2>$I$9</formula2>
    </dataValidation>
    <dataValidation type="decimal" allowBlank="1" showInputMessage="1" showErrorMessage="1" errorTitle="INVALID ENTRY" error="CHECK THE VALUE YOU'VE ENTERED, IT SHOULD NOT GO BEYOND THE PERFECT SCORE OR BELOW ZERO (0)." sqref="I10:P28 H10:H59" xr:uid="{81207944-AC07-40D3-AABC-F827D9AD2DB6}">
      <formula1>0</formula1>
      <formula2>$H$9</formula2>
    </dataValidation>
    <dataValidation type="decimal" allowBlank="1" showInputMessage="1" showErrorMessage="1" sqref="AF10:AF59" xr:uid="{B81212C8-F22E-400F-A27D-2C63A2E6D6FD}">
      <formula1>0</formula1>
      <formula2>$AF$8</formula2>
    </dataValidation>
    <dataValidation type="decimal" allowBlank="1" showInputMessage="1" showErrorMessage="1" sqref="M29:M59" xr:uid="{722A76FB-4226-40F2-8484-9080F20302FB}">
      <formula1>0</formula1>
      <formula2>$M$9</formula2>
    </dataValidation>
    <dataValidation type="decimal" allowBlank="1" showInputMessage="1" showErrorMessage="1" errorTitle="INVALID ENTRY" error="CHECK THE VALUE YOU'VE ENTERED, IT SHOULD NOT GO BEYOND THE PERFECT SCORE OR BELOW ZERO (0)." sqref="AA10:AA59" xr:uid="{5CB85044-A5C6-4897-9AF1-466334EA919F}">
      <formula1>0</formula1>
      <formula2>$AA$9</formula2>
    </dataValidation>
    <dataValidation type="decimal" allowBlank="1" showInputMessage="1" showErrorMessage="1" errorTitle="INVALID ENTRY" error="CHECK THE VALUE YOU'VE ENTERED, IT SHOULD NOT GO BEYOND THE PERFECT SCORE OR BELOW ZERO (0)." sqref="W10:W59" xr:uid="{387F03A1-BC5C-4671-8847-84E45991D631}">
      <formula1>0</formula1>
      <formula2>$W$9</formula2>
    </dataValidation>
    <dataValidation operator="greaterThan" allowBlank="1" showInputMessage="1" showErrorMessage="1" sqref="AJ10:AJ59" xr:uid="{E2D55B64-B110-48D4-BD95-0B6819DD586E}"/>
    <dataValidation type="list" allowBlank="1" showInputMessage="1" showErrorMessage="1" sqref="H8:AA8" xr:uid="{984E0AC7-0839-442C-BE89-AB760BB0F07C}">
      <formula1>$AN$7:$AN$12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Edmar Lindo</cp:lastModifiedBy>
  <dcterms:created xsi:type="dcterms:W3CDTF">2026-02-27T05:32:32Z</dcterms:created>
  <dcterms:modified xsi:type="dcterms:W3CDTF">2026-03-25T08:28:50Z</dcterms:modified>
</cp:coreProperties>
</file>