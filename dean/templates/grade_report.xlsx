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xamp\htdocs\appgrade2.3\dean\templates\"/>
    </mc:Choice>
  </mc:AlternateContent>
  <xr:revisionPtr revIDLastSave="0" documentId="13_ncr:1_{84D2249F-FD17-4480-B93F-3319A7B15F7D}" xr6:coauthVersionLast="47" xr6:coauthVersionMax="47" xr10:uidLastSave="{00000000-0000-0000-0000-000000000000}"/>
  <bookViews>
    <workbookView xWindow="5070" yWindow="1890" windowWidth="20475" windowHeight="113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1" l="1" a="1"/>
  <c r="L11" i="1" s="1"/>
  <c r="M11" i="1" s="1"/>
  <c r="L12" i="1" a="1"/>
  <c r="L12" i="1"/>
  <c r="M12" i="1" s="1"/>
  <c r="L13" i="1" a="1"/>
  <c r="L13" i="1" s="1"/>
  <c r="M13" i="1" s="1"/>
  <c r="L14" i="1" a="1"/>
  <c r="L14" i="1"/>
  <c r="M14" i="1" s="1"/>
  <c r="L15" i="1" a="1"/>
  <c r="L15" i="1" s="1"/>
  <c r="M15" i="1" s="1"/>
  <c r="L16" i="1" a="1"/>
  <c r="L16" i="1"/>
  <c r="M16" i="1" s="1"/>
  <c r="L17" i="1" a="1"/>
  <c r="L17" i="1" s="1"/>
  <c r="M17" i="1" s="1"/>
  <c r="L18" i="1" a="1"/>
  <c r="L18" i="1"/>
  <c r="M18" i="1" s="1"/>
  <c r="L19" i="1" a="1"/>
  <c r="L19" i="1" s="1"/>
  <c r="M19" i="1" s="1"/>
  <c r="L20" i="1" a="1"/>
  <c r="L20" i="1"/>
  <c r="M20" i="1" s="1"/>
  <c r="L21" i="1" a="1"/>
  <c r="L21" i="1" s="1"/>
  <c r="M21" i="1" s="1"/>
  <c r="L22" i="1" a="1"/>
  <c r="L22" i="1"/>
  <c r="M22" i="1" s="1"/>
  <c r="L23" i="1" a="1"/>
  <c r="L23" i="1" s="1"/>
  <c r="M23" i="1" s="1"/>
  <c r="L24" i="1" a="1"/>
  <c r="L24" i="1"/>
  <c r="M24" i="1" s="1"/>
  <c r="L25" i="1" a="1"/>
  <c r="L25" i="1" s="1"/>
  <c r="M25" i="1" s="1"/>
  <c r="L26" i="1" a="1"/>
  <c r="L26" i="1"/>
  <c r="M26" i="1" s="1"/>
  <c r="L27" i="1" a="1"/>
  <c r="L27" i="1" s="1"/>
  <c r="M27" i="1" s="1"/>
  <c r="L28" i="1" a="1"/>
  <c r="L28" i="1"/>
  <c r="M28" i="1" s="1"/>
  <c r="L29" i="1" a="1"/>
  <c r="L29" i="1" s="1"/>
  <c r="M29" i="1" s="1"/>
  <c r="L30" i="1" a="1"/>
  <c r="L30" i="1"/>
  <c r="M30" i="1" s="1"/>
  <c r="L31" i="1" a="1"/>
  <c r="L31" i="1" s="1"/>
  <c r="M31" i="1" s="1"/>
  <c r="L32" i="1" a="1"/>
  <c r="L32" i="1"/>
  <c r="M32" i="1" s="1"/>
  <c r="L33" i="1" a="1"/>
  <c r="L33" i="1" s="1"/>
  <c r="M33" i="1" s="1"/>
  <c r="L34" i="1" a="1"/>
  <c r="L34" i="1"/>
  <c r="M34" i="1" s="1"/>
  <c r="L35" i="1" a="1"/>
  <c r="L35" i="1" s="1"/>
  <c r="M35" i="1" s="1"/>
  <c r="L36" i="1" a="1"/>
  <c r="L36" i="1"/>
  <c r="M36" i="1" s="1"/>
  <c r="L37" i="1" a="1"/>
  <c r="L37" i="1" s="1"/>
  <c r="M37" i="1" s="1"/>
  <c r="L38" i="1" a="1"/>
  <c r="L38" i="1"/>
  <c r="M38" i="1" s="1"/>
  <c r="L39" i="1" a="1"/>
  <c r="L39" i="1" s="1"/>
  <c r="M39" i="1" s="1"/>
  <c r="L40" i="1" a="1"/>
  <c r="L40" i="1"/>
  <c r="M40" i="1" s="1"/>
  <c r="L41" i="1" a="1"/>
  <c r="L41" i="1" s="1"/>
  <c r="M41" i="1" s="1"/>
  <c r="L42" i="1" a="1"/>
  <c r="L42" i="1"/>
  <c r="M42" i="1" s="1"/>
  <c r="L43" i="1" a="1"/>
  <c r="L43" i="1" s="1"/>
  <c r="M43" i="1" s="1"/>
  <c r="L44" i="1" a="1"/>
  <c r="L44" i="1"/>
  <c r="M44" i="1" s="1"/>
  <c r="L45" i="1" a="1"/>
  <c r="L45" i="1" s="1"/>
  <c r="M45" i="1" s="1"/>
  <c r="L46" i="1" a="1"/>
  <c r="L46" i="1"/>
  <c r="M46" i="1" s="1"/>
  <c r="L47" i="1" a="1"/>
  <c r="L47" i="1" s="1"/>
  <c r="M47" i="1" s="1"/>
  <c r="L48" i="1" a="1"/>
  <c r="L48" i="1"/>
  <c r="M48" i="1" s="1"/>
  <c r="L49" i="1" a="1"/>
  <c r="L49" i="1" s="1"/>
  <c r="M49" i="1" s="1"/>
  <c r="L50" i="1" a="1"/>
  <c r="L50" i="1"/>
  <c r="M50" i="1" s="1"/>
  <c r="L51" i="1" a="1"/>
  <c r="L51" i="1" s="1"/>
  <c r="M51" i="1" s="1"/>
  <c r="L52" i="1" a="1"/>
  <c r="L52" i="1"/>
  <c r="M52" i="1" s="1"/>
  <c r="L53" i="1" a="1"/>
  <c r="L53" i="1" s="1"/>
  <c r="M53" i="1" s="1"/>
  <c r="L54" i="1" a="1"/>
  <c r="L54" i="1"/>
  <c r="M54" i="1" s="1"/>
  <c r="L55" i="1" a="1"/>
  <c r="L55" i="1" s="1"/>
  <c r="M55" i="1" s="1"/>
  <c r="L56" i="1" a="1"/>
  <c r="L56" i="1"/>
  <c r="M56" i="1" s="1"/>
  <c r="L57" i="1" a="1"/>
  <c r="L57" i="1" s="1"/>
  <c r="M57" i="1" s="1"/>
  <c r="L58" i="1" a="1"/>
  <c r="L58" i="1"/>
  <c r="M58" i="1" s="1"/>
  <c r="L59" i="1" a="1"/>
  <c r="L59" i="1" s="1"/>
  <c r="M59" i="1" s="1"/>
  <c r="L10" i="1" a="1"/>
  <c r="L10" i="1" s="1"/>
  <c r="M10" i="1" s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1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<sst xmlns="http://schemas.openxmlformats.org/spreadsheetml/2006/main" count="80" uniqueCount="50">
  <si>
    <t>INSTRUCTOR'S GRADE REPORT</t>
  </si>
  <si>
    <t>INSTRUCTOR'S NAME:</t>
  </si>
  <si>
    <t>SEMESTER:</t>
  </si>
  <si>
    <t>SUBJECT CODE:</t>
  </si>
  <si>
    <t>ACADEMIC YEAR:</t>
  </si>
  <si>
    <t>SUBJECT DESCRIPTION:</t>
  </si>
  <si>
    <t>SCHEDULE:</t>
  </si>
  <si>
    <t>NUMBER OF UNITS:</t>
  </si>
  <si>
    <t>ENROLLED STUDENTS:</t>
  </si>
  <si>
    <t>PROGRAM:</t>
  </si>
  <si>
    <t>SECTION:</t>
  </si>
  <si>
    <t>***Grade Report Sheet For Subjects With and Without PT/Laboratory***</t>
  </si>
  <si>
    <t>NO.</t>
  </si>
  <si>
    <t>STUDENT #</t>
  </si>
  <si>
    <t>STUDENT NAME</t>
  </si>
  <si>
    <t>PRELIM</t>
  </si>
  <si>
    <t>MIDTERM</t>
  </si>
  <si>
    <t>FINALS</t>
  </si>
  <si>
    <r>
      <t>AVERAGE</t>
    </r>
    <r>
      <rPr>
        <b/>
        <sz val="8"/>
        <color theme="1"/>
        <rFont val="Calibri"/>
        <family val="2"/>
        <scheme val="minor"/>
      </rPr>
      <t xml:space="preserve"> (Passing is 75)</t>
    </r>
  </si>
  <si>
    <t>SEM GRADE</t>
  </si>
  <si>
    <t>REMARKS</t>
  </si>
  <si>
    <t>Prepared by:</t>
  </si>
  <si>
    <t>Reviewed by:</t>
  </si>
  <si>
    <t>Subject Teacher</t>
  </si>
  <si>
    <t>Program Chairperson</t>
  </si>
  <si>
    <t>Checked by:</t>
  </si>
  <si>
    <t>Noted by:</t>
  </si>
  <si>
    <t>Executive Dean</t>
  </si>
  <si>
    <t>Vice President for Academic Affairs</t>
  </si>
  <si>
    <t>48842022</t>
  </si>
  <si>
    <t>57252023</t>
  </si>
  <si>
    <t>56812023</t>
  </si>
  <si>
    <t>58062023</t>
  </si>
  <si>
    <t>56232023</t>
  </si>
  <si>
    <t>53452023</t>
  </si>
  <si>
    <t>57622023</t>
  </si>
  <si>
    <t>40852022</t>
  </si>
  <si>
    <t>56612023</t>
  </si>
  <si>
    <t>58162023</t>
  </si>
  <si>
    <t>57222023</t>
  </si>
  <si>
    <t>55922023</t>
  </si>
  <si>
    <t>46672022</t>
  </si>
  <si>
    <t>56142023</t>
  </si>
  <si>
    <t>56252023</t>
  </si>
  <si>
    <t>56482023</t>
  </si>
  <si>
    <t>58612023</t>
  </si>
  <si>
    <t>58262023</t>
  </si>
  <si>
    <t>55242023</t>
  </si>
  <si>
    <t/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</si>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</sst>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;\-0.00;;@"/>
    <numFmt numFmtId="165" formatCode="0.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mbria"/>
      <family val="1"/>
    </font>
    <font>
      <i/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2" borderId="0" xfId="0" applyFill="1"/>
    <xf numFmtId="0" fontId="0" fillId="2" borderId="0" xfId="0" applyFill="1" applyProtection="1">
      <protection hidden="1"/>
    </xf>
    <xf numFmtId="0" fontId="3" fillId="2" borderId="0" xfId="0" applyFont="1" applyFill="1" applyProtection="1">
      <protection hidden="1"/>
    </xf>
    <xf numFmtId="0" fontId="1" fillId="2" borderId="4" xfId="0" applyFont="1" applyFill="1" applyBorder="1" applyAlignment="1" applyProtection="1">
      <alignment horizontal="center"/>
      <protection hidden="1"/>
    </xf>
    <xf numFmtId="0" fontId="1" fillId="2" borderId="12" xfId="0" applyFont="1" applyFill="1" applyBorder="1" applyAlignment="1" applyProtection="1">
      <alignment horizontal="center"/>
      <protection hidden="1"/>
    </xf>
    <xf numFmtId="164" fontId="0" fillId="2" borderId="4" xfId="0" applyNumberFormat="1" applyFill="1" applyBorder="1" applyAlignment="1" applyProtection="1">
      <alignment horizontal="center" vertical="center"/>
      <protection hidden="1"/>
    </xf>
    <xf numFmtId="165" fontId="1" fillId="2" borderId="4" xfId="0" applyNumberFormat="1" applyFont="1" applyFill="1" applyBorder="1" applyAlignment="1" applyProtection="1">
      <alignment horizontal="center" vertical="center"/>
      <protection hidden="1"/>
    </xf>
    <xf numFmtId="0" fontId="1" fillId="2" borderId="10" xfId="0" applyFont="1" applyFill="1" applyBorder="1" applyAlignment="1" applyProtection="1">
      <alignment horizontal="center"/>
      <protection hidden="1"/>
    </xf>
    <xf numFmtId="0" fontId="1" fillId="2" borderId="2" xfId="0" applyFont="1" applyFill="1" applyBorder="1" applyAlignment="1">
      <alignment horizontal="center"/>
    </xf>
    <xf numFmtId="0" fontId="0" fillId="2" borderId="2" xfId="0" applyFill="1" applyBorder="1" applyAlignment="1" applyProtection="1">
      <alignment vertical="center"/>
      <protection hidden="1"/>
    </xf>
    <xf numFmtId="164" fontId="0" fillId="2" borderId="2" xfId="0" applyNumberFormat="1" applyFill="1" applyBorder="1" applyAlignment="1" applyProtection="1">
      <alignment horizontal="center" vertical="center"/>
      <protection hidden="1"/>
    </xf>
    <xf numFmtId="2" fontId="1" fillId="2" borderId="2" xfId="0" applyNumberFormat="1" applyFont="1" applyFill="1" applyBorder="1" applyAlignment="1" applyProtection="1">
      <alignment horizontal="center" vertical="center"/>
      <protection hidden="1"/>
    </xf>
    <xf numFmtId="164" fontId="1" fillId="2" borderId="2" xfId="0" applyNumberFormat="1" applyFont="1" applyFill="1" applyBorder="1" applyAlignment="1" applyProtection="1">
      <alignment horizontal="center" vertical="center"/>
      <protection hidden="1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 applyProtection="1">
      <alignment vertical="center"/>
      <protection hidden="1"/>
    </xf>
    <xf numFmtId="0" fontId="0" fillId="2" borderId="0" xfId="0" applyFill="1" applyAlignment="1" applyProtection="1">
      <alignment vertical="center"/>
      <protection hidden="1"/>
    </xf>
    <xf numFmtId="0" fontId="5" fillId="2" borderId="0" xfId="0" applyFont="1" applyFill="1" applyAlignment="1" applyProtection="1">
      <alignment vertical="center"/>
      <protection hidden="1"/>
    </xf>
    <xf numFmtId="164" fontId="0" fillId="2" borderId="0" xfId="0" applyNumberFormat="1" applyFill="1" applyAlignment="1" applyProtection="1">
      <alignment horizontal="center" vertical="center"/>
      <protection hidden="1"/>
    </xf>
    <xf numFmtId="164" fontId="1" fillId="2" borderId="0" xfId="0" applyNumberFormat="1" applyFont="1" applyFill="1" applyAlignment="1" applyProtection="1">
      <alignment horizontal="center" vertical="center"/>
      <protection hidden="1"/>
    </xf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 applyProtection="1">
      <alignment vertical="center" wrapText="1"/>
      <protection hidden="1"/>
    </xf>
    <xf numFmtId="0" fontId="4" fillId="2" borderId="0" xfId="0" applyFont="1" applyFill="1" applyAlignment="1" applyProtection="1">
      <alignment horizontal="center" vertical="center" wrapText="1"/>
      <protection hidden="1"/>
    </xf>
    <xf numFmtId="2" fontId="1" fillId="2" borderId="0" xfId="0" applyNumberFormat="1" applyFont="1" applyFill="1" applyAlignment="1" applyProtection="1">
      <alignment horizontal="center" vertical="center"/>
      <protection hidden="1"/>
    </xf>
    <xf numFmtId="2" fontId="6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vertical="center"/>
      <protection hidden="1"/>
    </xf>
    <xf numFmtId="164" fontId="0" fillId="2" borderId="0" xfId="0" applyNumberFormat="1" applyFill="1" applyAlignment="1" applyProtection="1">
      <alignment vertical="center"/>
      <protection hidden="1"/>
    </xf>
    <xf numFmtId="0" fontId="6" fillId="2" borderId="0" xfId="0" applyFont="1" applyFill="1" applyAlignment="1">
      <alignment horizontal="center"/>
    </xf>
    <xf numFmtId="0" fontId="6" fillId="2" borderId="0" xfId="0" applyFont="1" applyFill="1"/>
    <xf numFmtId="0" fontId="7" fillId="2" borderId="2" xfId="0" applyFont="1" applyFill="1" applyBorder="1" applyAlignment="1" applyProtection="1">
      <alignment horizontal="center" vertical="center"/>
      <protection hidden="1"/>
    </xf>
    <xf numFmtId="2" fontId="7" fillId="2" borderId="2" xfId="0" applyNumberFormat="1" applyFont="1" applyFill="1" applyBorder="1" applyAlignment="1" applyProtection="1">
      <alignment horizontal="center" vertical="center"/>
      <protection hidden="1"/>
    </xf>
    <xf numFmtId="0" fontId="7" fillId="2" borderId="0" xfId="0" applyFont="1" applyFill="1" applyAlignment="1">
      <alignment horizontal="center"/>
    </xf>
    <xf numFmtId="0" fontId="1" fillId="2" borderId="8" xfId="0" applyFont="1" applyFill="1" applyBorder="1" applyAlignment="1" applyProtection="1">
      <alignment horizontal="center" vertical="center"/>
      <protection hidden="1"/>
    </xf>
    <xf numFmtId="2" fontId="1" fillId="2" borderId="8" xfId="0" applyNumberFormat="1" applyFont="1" applyFill="1" applyBorder="1" applyAlignment="1" applyProtection="1">
      <alignment horizontal="center" vertical="center"/>
      <protection hidden="1"/>
    </xf>
    <xf numFmtId="0" fontId="6" fillId="2" borderId="0" xfId="0" applyFont="1" applyFill="1" applyAlignment="1">
      <alignment horizontal="left"/>
    </xf>
    <xf numFmtId="0" fontId="0" fillId="2" borderId="0" xfId="0" applyFill="1" applyAlignment="1">
      <alignment horizontal="center"/>
    </xf>
    <xf numFmtId="0" fontId="0" fillId="2" borderId="12" xfId="0" applyFill="1" applyBorder="1" applyAlignment="1" applyProtection="1">
      <alignment horizontal="left" vertical="center"/>
      <protection hidden="1"/>
    </xf>
    <xf numFmtId="0" fontId="0" fillId="2" borderId="13" xfId="0" applyFill="1" applyBorder="1" applyAlignment="1" applyProtection="1">
      <alignment horizontal="left" vertical="center"/>
      <protection hidden="1"/>
    </xf>
    <xf numFmtId="0" fontId="0" fillId="2" borderId="14" xfId="0" applyFill="1" applyBorder="1" applyAlignment="1" applyProtection="1">
      <alignment horizontal="left" vertical="center"/>
      <protection hidden="1"/>
    </xf>
    <xf numFmtId="0" fontId="1" fillId="2" borderId="7" xfId="0" applyFont="1" applyFill="1" applyBorder="1" applyProtection="1">
      <protection hidden="1"/>
    </xf>
    <xf numFmtId="0" fontId="1" fillId="2" borderId="8" xfId="0" applyFont="1" applyFill="1" applyBorder="1" applyProtection="1">
      <protection hidden="1"/>
    </xf>
    <xf numFmtId="0" fontId="1" fillId="2" borderId="9" xfId="0" applyFont="1" applyFill="1" applyBorder="1" applyProtection="1">
      <protection hidden="1"/>
    </xf>
    <xf numFmtId="0" fontId="0" fillId="2" borderId="4" xfId="0" applyFill="1" applyBorder="1" applyAlignment="1" applyProtection="1">
      <alignment horizontal="left"/>
      <protection hidden="1"/>
    </xf>
    <xf numFmtId="0" fontId="1" fillId="2" borderId="10" xfId="0" applyFont="1" applyFill="1" applyBorder="1" applyAlignment="1" applyProtection="1">
      <alignment horizontal="center" vertical="center"/>
      <protection hidden="1"/>
    </xf>
    <xf numFmtId="0" fontId="1" fillId="2" borderId="11" xfId="0" applyFont="1" applyFill="1" applyBorder="1" applyAlignment="1" applyProtection="1">
      <alignment horizontal="center" vertical="center"/>
      <protection hidden="1"/>
    </xf>
    <xf numFmtId="0" fontId="1" fillId="2" borderId="1" xfId="0" applyFont="1" applyFill="1" applyBorder="1" applyAlignment="1" applyProtection="1">
      <alignment horizontal="center" vertical="center"/>
      <protection hidden="1"/>
    </xf>
    <xf numFmtId="0" fontId="1" fillId="2" borderId="2" xfId="0" applyFont="1" applyFill="1" applyBorder="1" applyAlignment="1" applyProtection="1">
      <alignment horizontal="center" vertical="center"/>
      <protection hidden="1"/>
    </xf>
    <xf numFmtId="0" fontId="1" fillId="2" borderId="3" xfId="0" applyFont="1" applyFill="1" applyBorder="1" applyAlignment="1" applyProtection="1">
      <alignment horizontal="center" vertical="center"/>
      <protection hidden="1"/>
    </xf>
    <xf numFmtId="0" fontId="1" fillId="2" borderId="7" xfId="0" applyFont="1" applyFill="1" applyBorder="1" applyAlignment="1" applyProtection="1">
      <alignment horizontal="center" vertical="center"/>
      <protection hidden="1"/>
    </xf>
    <xf numFmtId="0" fontId="1" fillId="2" borderId="9" xfId="0" applyFont="1" applyFill="1" applyBorder="1" applyAlignment="1" applyProtection="1">
      <alignment horizontal="center" vertical="center"/>
      <protection hidden="1"/>
    </xf>
    <xf numFmtId="0" fontId="1" fillId="2" borderId="10" xfId="0" applyFont="1" applyFill="1" applyBorder="1" applyAlignment="1" applyProtection="1">
      <alignment horizontal="center" vertical="center" wrapText="1"/>
      <protection hidden="1"/>
    </xf>
    <xf numFmtId="0" fontId="1" fillId="2" borderId="11" xfId="0" applyFont="1" applyFill="1" applyBorder="1" applyAlignment="1" applyProtection="1">
      <alignment horizontal="center" vertical="center" wrapText="1"/>
      <protection hidden="1"/>
    </xf>
    <xf numFmtId="0" fontId="1" fillId="2" borderId="4" xfId="0" applyFont="1" applyFill="1" applyBorder="1" applyAlignment="1" applyProtection="1">
      <alignment horizontal="center" vertical="center"/>
      <protection hidden="1"/>
    </xf>
    <xf numFmtId="0" fontId="1" fillId="2" borderId="5" xfId="0" applyFont="1" applyFill="1" applyBorder="1" applyProtection="1">
      <protection hidden="1"/>
    </xf>
    <xf numFmtId="0" fontId="1" fillId="2" borderId="0" xfId="0" applyFont="1" applyFill="1" applyProtection="1">
      <protection hidden="1"/>
    </xf>
    <xf numFmtId="0" fontId="1" fillId="2" borderId="6" xfId="0" applyFont="1" applyFill="1" applyBorder="1" applyProtection="1">
      <protection hidden="1"/>
    </xf>
    <xf numFmtId="0" fontId="2" fillId="0" borderId="0" xfId="0" applyFont="1" applyAlignment="1" applyProtection="1">
      <alignment horizontal="center"/>
      <protection hidden="1"/>
    </xf>
    <xf numFmtId="0" fontId="1" fillId="2" borderId="1" xfId="0" applyFont="1" applyFill="1" applyBorder="1" applyProtection="1">
      <protection hidden="1"/>
    </xf>
    <xf numFmtId="0" fontId="1" fillId="2" borderId="2" xfId="0" applyFont="1" applyFill="1" applyBorder="1" applyProtection="1">
      <protection hidden="1"/>
    </xf>
    <xf numFmtId="0" fontId="1" fillId="2" borderId="3" xfId="0" applyFont="1" applyFill="1" applyBorder="1" applyProtection="1">
      <protection hidden="1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105278</xdr:colOff>
      <xdr:row>59</xdr:row>
      <xdr:rowOff>22449</xdr:rowOff>
    </xdr:from>
    <xdr:to>
      <xdr:col>4</xdr:col>
      <xdr:colOff>601580</xdr:colOff>
      <xdr:row>70</xdr:row>
      <xdr:rowOff>137264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746EE1-2AEE-4C06-BD3D-644B59E81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278" y="11573099"/>
          <a:ext cx="2325102" cy="21404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</xdr:row>
      <xdr:rowOff>171450</xdr:rowOff>
    </xdr:from>
    <xdr:to>
      <xdr:col>5</xdr:col>
      <xdr:colOff>309950</xdr:colOff>
      <xdr:row>70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6DCF7D-0D25-4555-914F-6A6394EF9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722100"/>
          <a:ext cx="2748350" cy="2035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XFD75"/>
  <sheetViews>
    <sheetView tabSelected="1" view="pageLayout" zoomScaleNormal="91" workbookViewId="0">
      <selection activeCell="K4" sqref="K4:M4"/>
    </sheetView>
  </sheetViews>
  <sheetFormatPr defaultColWidth="0" defaultRowHeight="15" zeroHeight="1" x14ac:dyDescent="0.25"/>
  <cols>
    <col min="1" max="1" width="9.140625" style="1" customWidth="1"/>
    <col min="2" max="2" width="12" style="1" hidden="1" customWidth="1"/>
    <col min="3" max="9" width="9.140625" style="1" customWidth="1"/>
    <col min="10" max="10" width="9.42578125" style="1" customWidth="1"/>
    <col min="11" max="11" width="9.5703125" style="1" bestFit="1" customWidth="1"/>
    <col min="12" max="12" width="9.140625" style="1" customWidth="1"/>
    <col min="13" max="13" width="18.85546875" style="1" bestFit="1" customWidth="1"/>
    <col min="14" max="22" width="0" style="1" hidden="1"/>
    <col min="23" max="16383" width="9.140625" style="1" hidden="1"/>
    <col min="16384" max="16384" width="3.5703125" style="1" customWidth="1"/>
  </cols>
  <sheetData>
    <row r="1" spans="1:13" ht="25.5" x14ac:dyDescent="0.35">
      <c r="A1" s="57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</row>
    <row r="2" spans="1:13" x14ac:dyDescent="0.25">
      <c r="A2" s="58" t="s">
        <v>1</v>
      </c>
      <c r="B2" s="59"/>
      <c r="C2" s="59"/>
      <c r="D2" s="60"/>
      <c r="E2" s="43"/>
      <c r="F2" s="43"/>
      <c r="G2" s="43"/>
      <c r="H2" s="58" t="s">
        <v>2</v>
      </c>
      <c r="I2" s="59"/>
      <c r="J2" s="60"/>
      <c r="K2" s="43"/>
      <c r="L2" s="43"/>
      <c r="M2" s="43"/>
    </row>
    <row r="3" spans="1:13" x14ac:dyDescent="0.25">
      <c r="A3" s="54" t="s">
        <v>3</v>
      </c>
      <c r="B3" s="55"/>
      <c r="C3" s="55"/>
      <c r="D3" s="56"/>
      <c r="E3" s="43"/>
      <c r="F3" s="43"/>
      <c r="G3" s="43"/>
      <c r="H3" s="54" t="s">
        <v>4</v>
      </c>
      <c r="I3" s="55"/>
      <c r="J3" s="56"/>
      <c r="K3" s="43"/>
      <c r="L3" s="43"/>
      <c r="M3" s="43"/>
    </row>
    <row r="4" spans="1:13" x14ac:dyDescent="0.25">
      <c r="A4" s="54" t="s">
        <v>5</v>
      </c>
      <c r="B4" s="55"/>
      <c r="C4" s="55"/>
      <c r="D4" s="56"/>
      <c r="E4" s="43"/>
      <c r="F4" s="43"/>
      <c r="G4" s="43"/>
      <c r="H4" s="54" t="s">
        <v>6</v>
      </c>
      <c r="I4" s="55"/>
      <c r="J4" s="56"/>
      <c r="K4" s="43"/>
      <c r="L4" s="43"/>
      <c r="M4" s="43"/>
    </row>
    <row r="5" spans="1:13" x14ac:dyDescent="0.25">
      <c r="A5" s="54" t="s">
        <v>7</v>
      </c>
      <c r="B5" s="55"/>
      <c r="C5" s="55"/>
      <c r="D5" s="56"/>
      <c r="E5" s="43"/>
      <c r="F5" s="43"/>
      <c r="G5" s="43"/>
      <c r="H5" s="54" t="s">
        <v>8</v>
      </c>
      <c r="I5" s="55"/>
      <c r="J5" s="56"/>
      <c r="K5" s="43"/>
      <c r="L5" s="43"/>
      <c r="M5" s="43"/>
    </row>
    <row r="6" spans="1:13" x14ac:dyDescent="0.25">
      <c r="A6" s="40" t="s">
        <v>9</v>
      </c>
      <c r="B6" s="41"/>
      <c r="C6" s="41"/>
      <c r="D6" s="42"/>
      <c r="E6" s="43"/>
      <c r="F6" s="43"/>
      <c r="G6" s="43"/>
      <c r="H6" s="40" t="s">
        <v>10</v>
      </c>
      <c r="I6" s="41"/>
      <c r="J6" s="42"/>
      <c r="K6" s="43"/>
      <c r="L6" s="43"/>
      <c r="M6" s="43"/>
    </row>
    <row r="7" spans="1:13" x14ac:dyDescent="0.25">
      <c r="A7" s="2"/>
      <c r="B7" s="2"/>
      <c r="C7" s="3" t="s">
        <v>11</v>
      </c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x14ac:dyDescent="0.25">
      <c r="A8" s="44" t="s">
        <v>12</v>
      </c>
      <c r="B8" s="44" t="s">
        <v>13</v>
      </c>
      <c r="C8" s="46" t="s">
        <v>14</v>
      </c>
      <c r="D8" s="47"/>
      <c r="E8" s="47"/>
      <c r="F8" s="47"/>
      <c r="G8" s="48"/>
      <c r="H8" s="48" t="s">
        <v>15</v>
      </c>
      <c r="I8" s="44" t="s">
        <v>16</v>
      </c>
      <c r="J8" s="44" t="s">
        <v>17</v>
      </c>
      <c r="K8" s="51" t="s">
        <v>18</v>
      </c>
      <c r="L8" s="51" t="s">
        <v>19</v>
      </c>
      <c r="M8" s="53" t="s">
        <v>20</v>
      </c>
    </row>
    <row r="9" spans="1:13" x14ac:dyDescent="0.25">
      <c r="A9" s="45"/>
      <c r="B9" s="45"/>
      <c r="C9" s="49"/>
      <c r="D9" s="33"/>
      <c r="E9" s="33"/>
      <c r="F9" s="33"/>
      <c r="G9" s="50"/>
      <c r="H9" s="50"/>
      <c r="I9" s="45"/>
      <c r="J9" s="45"/>
      <c r="K9" s="52"/>
      <c r="L9" s="52"/>
      <c r="M9" s="53"/>
    </row>
    <row r="10" spans="1:13" x14ac:dyDescent="0.25">
      <c r="A10" s="4">
        <v>1</v>
      </c>
      <c r="B10" s="5" t="s">
        <v>29</v>
      </c>
      <c r="C10" s="37"/>
      <c r="D10" s="38"/>
      <c r="E10" s="38"/>
      <c r="F10" s="38"/>
      <c r="G10" s="39"/>
      <c r="H10" s="6"/>
      <c r="I10" s="6"/>
      <c r="J10" s="6"/>
      <c r="K10" s="7" t="str">
        <f>IF(COUNT(H10:J10)=0, "", SUM(H10:I10,J10)/3)</f>
        <v/>
      </c>
      <c r="L10" s="7" t="str" cm="1">
        <f t="array" ref="L10">IF(K10="", "", _xlfn.IFS(K10&gt;=97, 1, K10&gt;=94, 1.25, K10&gt;=91, 1.5, K10&gt;=88, 1.75, K10&gt;=85, 2, K10&gt;=82, 2.25, K10&gt;=79, 2.5, K10&gt;=76, 2.75, K10&gt;=75, 3, K10&lt;75, 5))</f>
        <v/>
      </c>
      <c r="M10" s="7" t="str">
        <f>IF(L10="", "", IF(L10&lt;=3, "PASSED", "FAILED"))</f>
        <v/>
      </c>
    </row>
    <row r="11" spans="1:13" x14ac:dyDescent="0.25">
      <c r="A11" s="4">
        <v>2</v>
      </c>
      <c r="B11" s="5" t="s">
        <v>30</v>
      </c>
      <c r="C11" s="37"/>
      <c r="D11" s="38"/>
      <c r="E11" s="38"/>
      <c r="F11" s="38"/>
      <c r="G11" s="39"/>
      <c r="H11" s="6"/>
      <c r="I11" s="6"/>
      <c r="J11" s="6"/>
      <c r="K11" s="7" t="str">
        <f t="shared" ref="K11:K59" si="0">IF(COUNT(H11:J11)=0, "", SUM(H11:I11,J11)/3)</f>
        <v/>
      </c>
      <c r="L11" s="7" t="str" cm="1">
        <f t="array" ref="L11">IF(K11="", "", _xlfn.IFS(K11&gt;=97, 1, K11&gt;=94, 1.25, K11&gt;=91, 1.5, K11&gt;=88, 1.75, K11&gt;=85, 2, K11&gt;=82, 2.25, K11&gt;=79, 2.5, K11&gt;=76, 2.75, K11&gt;=75, 3, K11&lt;75, 5))</f>
        <v/>
      </c>
      <c r="M11" s="7" t="str">
        <f t="shared" ref="M11:M59" si="1">IF(L11="", "", IF(L11&lt;=3, "PASSED", "FAILED"))</f>
        <v/>
      </c>
    </row>
    <row r="12" spans="1:13" x14ac:dyDescent="0.25">
      <c r="A12" s="4">
        <v>3</v>
      </c>
      <c r="B12" s="5" t="s">
        <v>31</v>
      </c>
      <c r="C12" s="37"/>
      <c r="D12" s="38"/>
      <c r="E12" s="38"/>
      <c r="F12" s="38"/>
      <c r="G12" s="39"/>
      <c r="H12" s="6"/>
      <c r="I12" s="6"/>
      <c r="J12" s="6"/>
      <c r="K12" s="7" t="str">
        <f t="shared" si="0"/>
        <v/>
      </c>
      <c r="L12" s="7" t="str" cm="1">
        <f t="array" ref="L12">IF(K12="", "", _xlfn.IFS(K12&gt;=97, 1, K12&gt;=94, 1.25, K12&gt;=91, 1.5, K12&gt;=88, 1.75, K12&gt;=85, 2, K12&gt;=82, 2.25, K12&gt;=79, 2.5, K12&gt;=76, 2.75, K12&gt;=75, 3, K12&lt;75, 5))</f>
        <v/>
      </c>
      <c r="M12" s="7" t="str">
        <f t="shared" si="1"/>
        <v/>
      </c>
    </row>
    <row r="13" spans="1:13" x14ac:dyDescent="0.25">
      <c r="A13" s="4">
        <v>4</v>
      </c>
      <c r="B13" s="5" t="s">
        <v>32</v>
      </c>
      <c r="C13" s="37"/>
      <c r="D13" s="38"/>
      <c r="E13" s="38"/>
      <c r="F13" s="38"/>
      <c r="G13" s="39"/>
      <c r="H13" s="6"/>
      <c r="I13" s="6"/>
      <c r="J13" s="6"/>
      <c r="K13" s="7" t="str">
        <f t="shared" si="0"/>
        <v/>
      </c>
      <c r="L13" s="7" t="str" cm="1">
        <f t="array" ref="L13">IF(K13="", "", _xlfn.IFS(K13&gt;=97, 1, K13&gt;=94, 1.25, K13&gt;=91, 1.5, K13&gt;=88, 1.75, K13&gt;=85, 2, K13&gt;=82, 2.25, K13&gt;=79, 2.5, K13&gt;=76, 2.75, K13&gt;=75, 3, K13&lt;75, 5))</f>
        <v/>
      </c>
      <c r="M13" s="7" t="str">
        <f t="shared" si="1"/>
        <v/>
      </c>
    </row>
    <row r="14" spans="1:13" x14ac:dyDescent="0.25">
      <c r="A14" s="4">
        <v>5</v>
      </c>
      <c r="B14" s="5" t="s">
        <v>33</v>
      </c>
      <c r="C14" s="37"/>
      <c r="D14" s="38"/>
      <c r="E14" s="38"/>
      <c r="F14" s="38"/>
      <c r="G14" s="39"/>
      <c r="H14" s="6"/>
      <c r="I14" s="6"/>
      <c r="J14" s="6"/>
      <c r="K14" s="7" t="str">
        <f t="shared" si="0"/>
        <v/>
      </c>
      <c r="L14" s="7" t="str" cm="1">
        <f t="array" ref="L14">IF(K14="", "", _xlfn.IFS(K14&gt;=97, 1, K14&gt;=94, 1.25, K14&gt;=91, 1.5, K14&gt;=88, 1.75, K14&gt;=85, 2, K14&gt;=82, 2.25, K14&gt;=79, 2.5, K14&gt;=76, 2.75, K14&gt;=75, 3, K14&lt;75, 5))</f>
        <v/>
      </c>
      <c r="M14" s="7" t="str">
        <f t="shared" si="1"/>
        <v/>
      </c>
    </row>
    <row r="15" spans="1:13" x14ac:dyDescent="0.25">
      <c r="A15" s="4">
        <v>6</v>
      </c>
      <c r="B15" s="5" t="s">
        <v>34</v>
      </c>
      <c r="C15" s="37"/>
      <c r="D15" s="38"/>
      <c r="E15" s="38"/>
      <c r="F15" s="38"/>
      <c r="G15" s="39"/>
      <c r="H15" s="6"/>
      <c r="I15" s="6"/>
      <c r="J15" s="6"/>
      <c r="K15" s="7" t="str">
        <f t="shared" si="0"/>
        <v/>
      </c>
      <c r="L15" s="7" t="str" cm="1">
        <f t="array" ref="L15">IF(K15="", "", _xlfn.IFS(K15&gt;=97, 1, K15&gt;=94, 1.25, K15&gt;=91, 1.5, K15&gt;=88, 1.75, K15&gt;=85, 2, K15&gt;=82, 2.25, K15&gt;=79, 2.5, K15&gt;=76, 2.75, K15&gt;=75, 3, K15&lt;75, 5))</f>
        <v/>
      </c>
      <c r="M15" s="7" t="str">
        <f t="shared" si="1"/>
        <v/>
      </c>
    </row>
    <row r="16" spans="1:13" x14ac:dyDescent="0.25">
      <c r="A16" s="4">
        <v>7</v>
      </c>
      <c r="B16" s="5" t="s">
        <v>35</v>
      </c>
      <c r="C16" s="37"/>
      <c r="D16" s="38"/>
      <c r="E16" s="38"/>
      <c r="F16" s="38"/>
      <c r="G16" s="39"/>
      <c r="H16" s="6"/>
      <c r="I16" s="6"/>
      <c r="J16" s="6"/>
      <c r="K16" s="7" t="str">
        <f t="shared" si="0"/>
        <v/>
      </c>
      <c r="L16" s="7" t="str" cm="1">
        <f t="array" ref="L16">IF(K16="", "", _xlfn.IFS(K16&gt;=97, 1, K16&gt;=94, 1.25, K16&gt;=91, 1.5, K16&gt;=88, 1.75, K16&gt;=85, 2, K16&gt;=82, 2.25, K16&gt;=79, 2.5, K16&gt;=76, 2.75, K16&gt;=75, 3, K16&lt;75, 5))</f>
        <v/>
      </c>
      <c r="M16" s="7" t="str">
        <f t="shared" si="1"/>
        <v/>
      </c>
    </row>
    <row r="17" spans="1:13" x14ac:dyDescent="0.25">
      <c r="A17" s="4">
        <v>8</v>
      </c>
      <c r="B17" s="5" t="s">
        <v>36</v>
      </c>
      <c r="C17" s="37"/>
      <c r="D17" s="38"/>
      <c r="E17" s="38"/>
      <c r="F17" s="38"/>
      <c r="G17" s="39"/>
      <c r="H17" s="6"/>
      <c r="I17" s="6"/>
      <c r="J17" s="6"/>
      <c r="K17" s="7" t="str">
        <f t="shared" si="0"/>
        <v/>
      </c>
      <c r="L17" s="7" t="str" cm="1">
        <f t="array" ref="L17">IF(K17="", "", _xlfn.IFS(K17&gt;=97, 1, K17&gt;=94, 1.25, K17&gt;=91, 1.5, K17&gt;=88, 1.75, K17&gt;=85, 2, K17&gt;=82, 2.25, K17&gt;=79, 2.5, K17&gt;=76, 2.75, K17&gt;=75, 3, K17&lt;75, 5))</f>
        <v/>
      </c>
      <c r="M17" s="7" t="str">
        <f t="shared" si="1"/>
        <v/>
      </c>
    </row>
    <row r="18" spans="1:13" x14ac:dyDescent="0.25">
      <c r="A18" s="4">
        <v>9</v>
      </c>
      <c r="B18" s="5" t="s">
        <v>37</v>
      </c>
      <c r="C18" s="37"/>
      <c r="D18" s="38"/>
      <c r="E18" s="38"/>
      <c r="F18" s="38"/>
      <c r="G18" s="39"/>
      <c r="H18" s="6"/>
      <c r="I18" s="6"/>
      <c r="J18" s="6"/>
      <c r="K18" s="7" t="str">
        <f t="shared" si="0"/>
        <v/>
      </c>
      <c r="L18" s="7" t="str" cm="1">
        <f t="array" ref="L18">IF(K18="", "", _xlfn.IFS(K18&gt;=97, 1, K18&gt;=94, 1.25, K18&gt;=91, 1.5, K18&gt;=88, 1.75, K18&gt;=85, 2, K18&gt;=82, 2.25, K18&gt;=79, 2.5, K18&gt;=76, 2.75, K18&gt;=75, 3, K18&lt;75, 5))</f>
        <v/>
      </c>
      <c r="M18" s="7" t="str">
        <f t="shared" si="1"/>
        <v/>
      </c>
    </row>
    <row r="19" spans="1:13" x14ac:dyDescent="0.25">
      <c r="A19" s="4">
        <v>10</v>
      </c>
      <c r="B19" s="5" t="s">
        <v>38</v>
      </c>
      <c r="C19" s="37"/>
      <c r="D19" s="38"/>
      <c r="E19" s="38"/>
      <c r="F19" s="38"/>
      <c r="G19" s="39"/>
      <c r="H19" s="6"/>
      <c r="I19" s="6"/>
      <c r="J19" s="6"/>
      <c r="K19" s="7" t="str">
        <f t="shared" si="0"/>
        <v/>
      </c>
      <c r="L19" s="7" t="str" cm="1">
        <f t="array" ref="L19">IF(K19="", "", _xlfn.IFS(K19&gt;=97, 1, K19&gt;=94, 1.25, K19&gt;=91, 1.5, K19&gt;=88, 1.75, K19&gt;=85, 2, K19&gt;=82, 2.25, K19&gt;=79, 2.5, K19&gt;=76, 2.75, K19&gt;=75, 3, K19&lt;75, 5))</f>
        <v/>
      </c>
      <c r="M19" s="7" t="str">
        <f t="shared" si="1"/>
        <v/>
      </c>
    </row>
    <row r="20" spans="1:13" x14ac:dyDescent="0.25">
      <c r="A20" s="4">
        <v>11</v>
      </c>
      <c r="B20" s="5" t="s">
        <v>39</v>
      </c>
      <c r="C20" s="37"/>
      <c r="D20" s="38"/>
      <c r="E20" s="38"/>
      <c r="F20" s="38"/>
      <c r="G20" s="39"/>
      <c r="H20" s="6"/>
      <c r="I20" s="6"/>
      <c r="J20" s="6"/>
      <c r="K20" s="7" t="str">
        <f t="shared" si="0"/>
        <v/>
      </c>
      <c r="L20" s="7" t="str" cm="1">
        <f t="array" ref="L20">IF(K20="", "", _xlfn.IFS(K20&gt;=97, 1, K20&gt;=94, 1.25, K20&gt;=91, 1.5, K20&gt;=88, 1.75, K20&gt;=85, 2, K20&gt;=82, 2.25, K20&gt;=79, 2.5, K20&gt;=76, 2.75, K20&gt;=75, 3, K20&lt;75, 5))</f>
        <v/>
      </c>
      <c r="M20" s="7" t="str">
        <f t="shared" si="1"/>
        <v/>
      </c>
    </row>
    <row r="21" spans="1:13" x14ac:dyDescent="0.25">
      <c r="A21" s="4">
        <v>12</v>
      </c>
      <c r="B21" s="5" t="s">
        <v>40</v>
      </c>
      <c r="C21" s="37"/>
      <c r="D21" s="38"/>
      <c r="E21" s="38"/>
      <c r="F21" s="38"/>
      <c r="G21" s="39"/>
      <c r="H21" s="6"/>
      <c r="I21" s="6"/>
      <c r="J21" s="6"/>
      <c r="K21" s="7" t="str">
        <f t="shared" si="0"/>
        <v/>
      </c>
      <c r="L21" s="7" t="str" cm="1">
        <f t="array" ref="L21">IF(K21="", "", _xlfn.IFS(K21&gt;=97, 1, K21&gt;=94, 1.25, K21&gt;=91, 1.5, K21&gt;=88, 1.75, K21&gt;=85, 2, K21&gt;=82, 2.25, K21&gt;=79, 2.5, K21&gt;=76, 2.75, K21&gt;=75, 3, K21&lt;75, 5))</f>
        <v/>
      </c>
      <c r="M21" s="7" t="str">
        <f t="shared" si="1"/>
        <v/>
      </c>
    </row>
    <row r="22" spans="1:13" x14ac:dyDescent="0.25">
      <c r="A22" s="4">
        <v>13</v>
      </c>
      <c r="B22" s="5" t="s">
        <v>41</v>
      </c>
      <c r="C22" s="37"/>
      <c r="D22" s="38"/>
      <c r="E22" s="38"/>
      <c r="F22" s="38"/>
      <c r="G22" s="39"/>
      <c r="H22" s="6"/>
      <c r="I22" s="6"/>
      <c r="J22" s="6"/>
      <c r="K22" s="7" t="str">
        <f t="shared" si="0"/>
        <v/>
      </c>
      <c r="L22" s="7" t="str" cm="1">
        <f t="array" ref="L22">IF(K22="", "", _xlfn.IFS(K22&gt;=97, 1, K22&gt;=94, 1.25, K22&gt;=91, 1.5, K22&gt;=88, 1.75, K22&gt;=85, 2, K22&gt;=82, 2.25, K22&gt;=79, 2.5, K22&gt;=76, 2.75, K22&gt;=75, 3, K22&lt;75, 5))</f>
        <v/>
      </c>
      <c r="M22" s="7" t="str">
        <f t="shared" si="1"/>
        <v/>
      </c>
    </row>
    <row r="23" spans="1:13" x14ac:dyDescent="0.25">
      <c r="A23" s="4">
        <v>14</v>
      </c>
      <c r="B23" s="5" t="s">
        <v>42</v>
      </c>
      <c r="C23" s="37"/>
      <c r="D23" s="38"/>
      <c r="E23" s="38"/>
      <c r="F23" s="38"/>
      <c r="G23" s="39"/>
      <c r="H23" s="6"/>
      <c r="I23" s="6"/>
      <c r="J23" s="6"/>
      <c r="K23" s="7" t="str">
        <f t="shared" si="0"/>
        <v/>
      </c>
      <c r="L23" s="7" t="str" cm="1">
        <f t="array" ref="L23">IF(K23="", "", _xlfn.IFS(K23&gt;=97, 1, K23&gt;=94, 1.25, K23&gt;=91, 1.5, K23&gt;=88, 1.75, K23&gt;=85, 2, K23&gt;=82, 2.25, K23&gt;=79, 2.5, K23&gt;=76, 2.75, K23&gt;=75, 3, K23&lt;75, 5))</f>
        <v/>
      </c>
      <c r="M23" s="7" t="str">
        <f t="shared" si="1"/>
        <v/>
      </c>
    </row>
    <row r="24" spans="1:13" x14ac:dyDescent="0.25">
      <c r="A24" s="4">
        <v>15</v>
      </c>
      <c r="B24" s="5" t="s">
        <v>43</v>
      </c>
      <c r="C24" s="37"/>
      <c r="D24" s="38"/>
      <c r="E24" s="38"/>
      <c r="F24" s="38"/>
      <c r="G24" s="39"/>
      <c r="H24" s="6"/>
      <c r="I24" s="6"/>
      <c r="J24" s="6"/>
      <c r="K24" s="7" t="str">
        <f t="shared" si="0"/>
        <v/>
      </c>
      <c r="L24" s="7" t="str" cm="1">
        <f t="array" ref="L24">IF(K24="", "", _xlfn.IFS(K24&gt;=97, 1, K24&gt;=94, 1.25, K24&gt;=91, 1.5, K24&gt;=88, 1.75, K24&gt;=85, 2, K24&gt;=82, 2.25, K24&gt;=79, 2.5, K24&gt;=76, 2.75, K24&gt;=75, 3, K24&lt;75, 5))</f>
        <v/>
      </c>
      <c r="M24" s="7" t="str">
        <f t="shared" si="1"/>
        <v/>
      </c>
    </row>
    <row r="25" spans="1:13" x14ac:dyDescent="0.25">
      <c r="A25" s="4">
        <v>16</v>
      </c>
      <c r="B25" s="5" t="s">
        <v>44</v>
      </c>
      <c r="C25" s="37"/>
      <c r="D25" s="38"/>
      <c r="E25" s="38"/>
      <c r="F25" s="38"/>
      <c r="G25" s="39"/>
      <c r="H25" s="6"/>
      <c r="I25" s="6"/>
      <c r="J25" s="6"/>
      <c r="K25" s="7" t="str">
        <f t="shared" si="0"/>
        <v/>
      </c>
      <c r="L25" s="7" t="str" cm="1">
        <f t="array" ref="L25">IF(K25="", "", _xlfn.IFS(K25&gt;=97, 1, K25&gt;=94, 1.25, K25&gt;=91, 1.5, K25&gt;=88, 1.75, K25&gt;=85, 2, K25&gt;=82, 2.25, K25&gt;=79, 2.5, K25&gt;=76, 2.75, K25&gt;=75, 3, K25&lt;75, 5))</f>
        <v/>
      </c>
      <c r="M25" s="7" t="str">
        <f t="shared" si="1"/>
        <v/>
      </c>
    </row>
    <row r="26" spans="1:13" x14ac:dyDescent="0.25">
      <c r="A26" s="4">
        <v>17</v>
      </c>
      <c r="B26" s="5" t="s">
        <v>45</v>
      </c>
      <c r="C26" s="37"/>
      <c r="D26" s="38"/>
      <c r="E26" s="38"/>
      <c r="F26" s="38"/>
      <c r="G26" s="39"/>
      <c r="H26" s="6"/>
      <c r="I26" s="6"/>
      <c r="J26" s="6"/>
      <c r="K26" s="7" t="str">
        <f t="shared" si="0"/>
        <v/>
      </c>
      <c r="L26" s="7" t="str" cm="1">
        <f t="array" ref="L26">IF(K26="", "", _xlfn.IFS(K26&gt;=97, 1, K26&gt;=94, 1.25, K26&gt;=91, 1.5, K26&gt;=88, 1.75, K26&gt;=85, 2, K26&gt;=82, 2.25, K26&gt;=79, 2.5, K26&gt;=76, 2.75, K26&gt;=75, 3, K26&lt;75, 5))</f>
        <v/>
      </c>
      <c r="M26" s="7" t="str">
        <f t="shared" si="1"/>
        <v/>
      </c>
    </row>
    <row r="27" spans="1:13" x14ac:dyDescent="0.25">
      <c r="A27" s="4">
        <v>18</v>
      </c>
      <c r="B27" s="5" t="s">
        <v>46</v>
      </c>
      <c r="C27" s="37"/>
      <c r="D27" s="38"/>
      <c r="E27" s="38"/>
      <c r="F27" s="38"/>
      <c r="G27" s="39"/>
      <c r="H27" s="6"/>
      <c r="I27" s="6"/>
      <c r="J27" s="6"/>
      <c r="K27" s="7" t="str">
        <f t="shared" si="0"/>
        <v/>
      </c>
      <c r="L27" s="7" t="str" cm="1">
        <f t="array" ref="L27">IF(K27="", "", _xlfn.IFS(K27&gt;=97, 1, K27&gt;=94, 1.25, K27&gt;=91, 1.5, K27&gt;=88, 1.75, K27&gt;=85, 2, K27&gt;=82, 2.25, K27&gt;=79, 2.5, K27&gt;=76, 2.75, K27&gt;=75, 3, K27&lt;75, 5))</f>
        <v/>
      </c>
      <c r="M27" s="7" t="str">
        <f t="shared" si="1"/>
        <v/>
      </c>
    </row>
    <row r="28" spans="1:13" x14ac:dyDescent="0.25">
      <c r="A28" s="4">
        <v>19</v>
      </c>
      <c r="B28" s="5" t="s">
        <v>47</v>
      </c>
      <c r="C28" s="37"/>
      <c r="D28" s="38"/>
      <c r="E28" s="38"/>
      <c r="F28" s="38"/>
      <c r="G28" s="39"/>
      <c r="H28" s="6"/>
      <c r="I28" s="6"/>
      <c r="J28" s="6"/>
      <c r="K28" s="7" t="str">
        <f t="shared" si="0"/>
        <v/>
      </c>
      <c r="L28" s="7" t="str" cm="1">
        <f t="array" ref="L28">IF(K28="", "", _xlfn.IFS(K28&gt;=97, 1, K28&gt;=94, 1.25, K28&gt;=91, 1.5, K28&gt;=88, 1.75, K28&gt;=85, 2, K28&gt;=82, 2.25, K28&gt;=79, 2.5, K28&gt;=76, 2.75, K28&gt;=75, 3, K28&lt;75, 5))</f>
        <v/>
      </c>
      <c r="M28" s="7" t="str">
        <f t="shared" si="1"/>
        <v/>
      </c>
    </row>
    <row r="29" spans="1:13" x14ac:dyDescent="0.25">
      <c r="A29" s="4">
        <v>20</v>
      </c>
      <c r="B29" s="5" t="s">
        <v>48</v>
      </c>
      <c r="C29" s="37"/>
      <c r="D29" s="38"/>
      <c r="E29" s="38"/>
      <c r="F29" s="38"/>
      <c r="G29" s="39"/>
      <c r="H29" s="6"/>
      <c r="I29" s="6"/>
      <c r="J29" s="6"/>
      <c r="K29" s="7" t="str">
        <f t="shared" si="0"/>
        <v/>
      </c>
      <c r="L29" s="7" t="str" cm="1">
        <f t="array" ref="L29">IF(K29="", "", _xlfn.IFS(K29&gt;=97, 1, K29&gt;=94, 1.25, K29&gt;=91, 1.5, K29&gt;=88, 1.75, K29&gt;=85, 2, K29&gt;=82, 2.25, K29&gt;=79, 2.5, K29&gt;=76, 2.75, K29&gt;=75, 3, K29&lt;75, 5))</f>
        <v/>
      </c>
      <c r="M29" s="7" t="str">
        <f t="shared" si="1"/>
        <v/>
      </c>
    </row>
    <row r="30" spans="1:13" x14ac:dyDescent="0.25">
      <c r="A30" s="4">
        <v>21</v>
      </c>
      <c r="B30" s="5" t="s">
        <v>48</v>
      </c>
      <c r="C30" s="37"/>
      <c r="D30" s="38"/>
      <c r="E30" s="38"/>
      <c r="F30" s="38"/>
      <c r="G30" s="39"/>
      <c r="H30" s="6"/>
      <c r="I30" s="6"/>
      <c r="J30" s="6"/>
      <c r="K30" s="7" t="str">
        <f t="shared" si="0"/>
        <v/>
      </c>
      <c r="L30" s="7" t="str" cm="1">
        <f t="array" ref="L30">IF(K30="", "", _xlfn.IFS(K30&gt;=97, 1, K30&gt;=94, 1.25, K30&gt;=91, 1.5, K30&gt;=88, 1.75, K30&gt;=85, 2, K30&gt;=82, 2.25, K30&gt;=79, 2.5, K30&gt;=76, 2.75, K30&gt;=75, 3, K30&lt;75, 5))</f>
        <v/>
      </c>
      <c r="M30" s="7" t="str">
        <f t="shared" si="1"/>
        <v/>
      </c>
    </row>
    <row r="31" spans="1:13" x14ac:dyDescent="0.25">
      <c r="A31" s="4">
        <v>22</v>
      </c>
      <c r="B31" s="5" t="s">
        <v>48</v>
      </c>
      <c r="C31" s="37"/>
      <c r="D31" s="38"/>
      <c r="E31" s="38"/>
      <c r="F31" s="38"/>
      <c r="G31" s="39"/>
      <c r="H31" s="6"/>
      <c r="I31" s="6"/>
      <c r="J31" s="6"/>
      <c r="K31" s="7" t="str">
        <f t="shared" si="0"/>
        <v/>
      </c>
      <c r="L31" s="7" t="str" cm="1">
        <f t="array" ref="L31">IF(K31="", "", _xlfn.IFS(K31&gt;=97, 1, K31&gt;=94, 1.25, K31&gt;=91, 1.5, K31&gt;=88, 1.75, K31&gt;=85, 2, K31&gt;=82, 2.25, K31&gt;=79, 2.5, K31&gt;=76, 2.75, K31&gt;=75, 3, K31&lt;75, 5))</f>
        <v/>
      </c>
      <c r="M31" s="7" t="str">
        <f t="shared" si="1"/>
        <v/>
      </c>
    </row>
    <row r="32" spans="1:13" x14ac:dyDescent="0.25">
      <c r="A32" s="4">
        <v>23</v>
      </c>
      <c r="B32" s="5" t="s">
        <v>48</v>
      </c>
      <c r="C32" s="37"/>
      <c r="D32" s="38"/>
      <c r="E32" s="38"/>
      <c r="F32" s="38"/>
      <c r="G32" s="39"/>
      <c r="H32" s="6"/>
      <c r="I32" s="6"/>
      <c r="J32" s="6"/>
      <c r="K32" s="7" t="str">
        <f t="shared" si="0"/>
        <v/>
      </c>
      <c r="L32" s="7" t="str" cm="1">
        <f t="array" ref="L32">IF(K32="", "", _xlfn.IFS(K32&gt;=97, 1, K32&gt;=94, 1.25, K32&gt;=91, 1.5, K32&gt;=88, 1.75, K32&gt;=85, 2, K32&gt;=82, 2.25, K32&gt;=79, 2.5, K32&gt;=76, 2.75, K32&gt;=75, 3, K32&lt;75, 5))</f>
        <v/>
      </c>
      <c r="M32" s="7" t="str">
        <f t="shared" si="1"/>
        <v/>
      </c>
    </row>
    <row r="33" spans="1:13" x14ac:dyDescent="0.25">
      <c r="A33" s="4">
        <v>24</v>
      </c>
      <c r="B33" s="5" t="s">
        <v>48</v>
      </c>
      <c r="C33" s="37"/>
      <c r="D33" s="38"/>
      <c r="E33" s="38"/>
      <c r="F33" s="38"/>
      <c r="G33" s="39"/>
      <c r="H33" s="6"/>
      <c r="I33" s="6"/>
      <c r="J33" s="6"/>
      <c r="K33" s="7" t="str">
        <f t="shared" si="0"/>
        <v/>
      </c>
      <c r="L33" s="7" t="str" cm="1">
        <f t="array" ref="L33">IF(K33="", "", _xlfn.IFS(K33&gt;=97, 1, K33&gt;=94, 1.25, K33&gt;=91, 1.5, K33&gt;=88, 1.75, K33&gt;=85, 2, K33&gt;=82, 2.25, K33&gt;=79, 2.5, K33&gt;=76, 2.75, K33&gt;=75, 3, K33&lt;75, 5))</f>
        <v/>
      </c>
      <c r="M33" s="7" t="str">
        <f t="shared" si="1"/>
        <v/>
      </c>
    </row>
    <row r="34" spans="1:13" x14ac:dyDescent="0.25">
      <c r="A34" s="4">
        <v>25</v>
      </c>
      <c r="B34" s="5" t="s">
        <v>48</v>
      </c>
      <c r="C34" s="37"/>
      <c r="D34" s="38"/>
      <c r="E34" s="38"/>
      <c r="F34" s="38"/>
      <c r="G34" s="39"/>
      <c r="H34" s="6"/>
      <c r="I34" s="6"/>
      <c r="J34" s="6"/>
      <c r="K34" s="7" t="str">
        <f t="shared" si="0"/>
        <v/>
      </c>
      <c r="L34" s="7" t="str" cm="1">
        <f t="array" ref="L34">IF(K34="", "", _xlfn.IFS(K34&gt;=97, 1, K34&gt;=94, 1.25, K34&gt;=91, 1.5, K34&gt;=88, 1.75, K34&gt;=85, 2, K34&gt;=82, 2.25, K34&gt;=79, 2.5, K34&gt;=76, 2.75, K34&gt;=75, 3, K34&lt;75, 5))</f>
        <v/>
      </c>
      <c r="M34" s="7" t="str">
        <f t="shared" si="1"/>
        <v/>
      </c>
    </row>
    <row r="35" spans="1:13" x14ac:dyDescent="0.25">
      <c r="A35" s="4">
        <v>26</v>
      </c>
      <c r="B35" s="5" t="s">
        <v>48</v>
      </c>
      <c r="C35" s="37"/>
      <c r="D35" s="38"/>
      <c r="E35" s="38"/>
      <c r="F35" s="38"/>
      <c r="G35" s="39"/>
      <c r="H35" s="6"/>
      <c r="I35" s="6"/>
      <c r="J35" s="6"/>
      <c r="K35" s="7" t="str">
        <f t="shared" si="0"/>
        <v/>
      </c>
      <c r="L35" s="7" t="str" cm="1">
        <f t="array" ref="L35">IF(K35="", "", _xlfn.IFS(K35&gt;=97, 1, K35&gt;=94, 1.25, K35&gt;=91, 1.5, K35&gt;=88, 1.75, K35&gt;=85, 2, K35&gt;=82, 2.25, K35&gt;=79, 2.5, K35&gt;=76, 2.75, K35&gt;=75, 3, K35&lt;75, 5))</f>
        <v/>
      </c>
      <c r="M35" s="7" t="str">
        <f t="shared" si="1"/>
        <v/>
      </c>
    </row>
    <row r="36" spans="1:13" x14ac:dyDescent="0.25">
      <c r="A36" s="4">
        <v>27</v>
      </c>
      <c r="B36" s="5" t="s">
        <v>48</v>
      </c>
      <c r="C36" s="37"/>
      <c r="D36" s="38"/>
      <c r="E36" s="38"/>
      <c r="F36" s="38"/>
      <c r="G36" s="39"/>
      <c r="H36" s="6"/>
      <c r="I36" s="6"/>
      <c r="J36" s="6"/>
      <c r="K36" s="7" t="str">
        <f t="shared" si="0"/>
        <v/>
      </c>
      <c r="L36" s="7" t="str" cm="1">
        <f t="array" ref="L36">IF(K36="", "", _xlfn.IFS(K36&gt;=97, 1, K36&gt;=94, 1.25, K36&gt;=91, 1.5, K36&gt;=88, 1.75, K36&gt;=85, 2, K36&gt;=82, 2.25, K36&gt;=79, 2.5, K36&gt;=76, 2.75, K36&gt;=75, 3, K36&lt;75, 5))</f>
        <v/>
      </c>
      <c r="M36" s="7" t="str">
        <f t="shared" si="1"/>
        <v/>
      </c>
    </row>
    <row r="37" spans="1:13" x14ac:dyDescent="0.25">
      <c r="A37" s="4">
        <v>28</v>
      </c>
      <c r="B37" s="5" t="s">
        <v>48</v>
      </c>
      <c r="C37" s="37"/>
      <c r="D37" s="38"/>
      <c r="E37" s="38"/>
      <c r="F37" s="38"/>
      <c r="G37" s="39"/>
      <c r="H37" s="6"/>
      <c r="I37" s="6"/>
      <c r="J37" s="6"/>
      <c r="K37" s="7" t="str">
        <f t="shared" si="0"/>
        <v/>
      </c>
      <c r="L37" s="7" t="str" cm="1">
        <f t="array" ref="L37">IF(K37="", "", _xlfn.IFS(K37&gt;=97, 1, K37&gt;=94, 1.25, K37&gt;=91, 1.5, K37&gt;=88, 1.75, K37&gt;=85, 2, K37&gt;=82, 2.25, K37&gt;=79, 2.5, K37&gt;=76, 2.75, K37&gt;=75, 3, K37&lt;75, 5))</f>
        <v/>
      </c>
      <c r="M37" s="7" t="str">
        <f t="shared" si="1"/>
        <v/>
      </c>
    </row>
    <row r="38" spans="1:13" x14ac:dyDescent="0.25">
      <c r="A38" s="4">
        <v>29</v>
      </c>
      <c r="B38" s="5" t="s">
        <v>48</v>
      </c>
      <c r="C38" s="37"/>
      <c r="D38" s="38"/>
      <c r="E38" s="38"/>
      <c r="F38" s="38"/>
      <c r="G38" s="39"/>
      <c r="H38" s="6"/>
      <c r="I38" s="6"/>
      <c r="J38" s="6"/>
      <c r="K38" s="7" t="str">
        <f t="shared" si="0"/>
        <v/>
      </c>
      <c r="L38" s="7" t="str" cm="1">
        <f t="array" ref="L38">IF(K38="", "", _xlfn.IFS(K38&gt;=97, 1, K38&gt;=94, 1.25, K38&gt;=91, 1.5, K38&gt;=88, 1.75, K38&gt;=85, 2, K38&gt;=82, 2.25, K38&gt;=79, 2.5, K38&gt;=76, 2.75, K38&gt;=75, 3, K38&lt;75, 5))</f>
        <v/>
      </c>
      <c r="M38" s="7" t="str">
        <f t="shared" si="1"/>
        <v/>
      </c>
    </row>
    <row r="39" spans="1:13" x14ac:dyDescent="0.25">
      <c r="A39" s="4">
        <v>30</v>
      </c>
      <c r="B39" s="5" t="s">
        <v>48</v>
      </c>
      <c r="C39" s="37"/>
      <c r="D39" s="38"/>
      <c r="E39" s="38"/>
      <c r="F39" s="38"/>
      <c r="G39" s="39"/>
      <c r="H39" s="6"/>
      <c r="I39" s="6"/>
      <c r="J39" s="6"/>
      <c r="K39" s="7" t="str">
        <f t="shared" si="0"/>
        <v/>
      </c>
      <c r="L39" s="7" t="str" cm="1">
        <f t="array" ref="L39">IF(K39="", "", _xlfn.IFS(K39&gt;=97, 1, K39&gt;=94, 1.25, K39&gt;=91, 1.5, K39&gt;=88, 1.75, K39&gt;=85, 2, K39&gt;=82, 2.25, K39&gt;=79, 2.5, K39&gt;=76, 2.75, K39&gt;=75, 3, K39&lt;75, 5))</f>
        <v/>
      </c>
      <c r="M39" s="7" t="str">
        <f t="shared" si="1"/>
        <v/>
      </c>
    </row>
    <row r="40" spans="1:13" x14ac:dyDescent="0.25">
      <c r="A40" s="4">
        <v>31</v>
      </c>
      <c r="B40" s="5" t="s">
        <v>48</v>
      </c>
      <c r="C40" s="37"/>
      <c r="D40" s="38"/>
      <c r="E40" s="38"/>
      <c r="F40" s="38"/>
      <c r="G40" s="39"/>
      <c r="H40" s="6"/>
      <c r="I40" s="6"/>
      <c r="J40" s="6"/>
      <c r="K40" s="7" t="str">
        <f t="shared" si="0"/>
        <v/>
      </c>
      <c r="L40" s="7" t="str" cm="1">
        <f t="array" ref="L40">IF(K40="", "", _xlfn.IFS(K40&gt;=97, 1, K40&gt;=94, 1.25, K40&gt;=91, 1.5, K40&gt;=88, 1.75, K40&gt;=85, 2, K40&gt;=82, 2.25, K40&gt;=79, 2.5, K40&gt;=76, 2.75, K40&gt;=75, 3, K40&lt;75, 5))</f>
        <v/>
      </c>
      <c r="M40" s="7" t="str">
        <f t="shared" si="1"/>
        <v/>
      </c>
    </row>
    <row r="41" spans="1:13" x14ac:dyDescent="0.25">
      <c r="A41" s="4">
        <v>32</v>
      </c>
      <c r="B41" s="5" t="s">
        <v>48</v>
      </c>
      <c r="C41" s="37"/>
      <c r="D41" s="38"/>
      <c r="E41" s="38"/>
      <c r="F41" s="38"/>
      <c r="G41" s="39"/>
      <c r="H41" s="6"/>
      <c r="I41" s="6"/>
      <c r="J41" s="6"/>
      <c r="K41" s="7" t="str">
        <f t="shared" si="0"/>
        <v/>
      </c>
      <c r="L41" s="7" t="str" cm="1">
        <f t="array" ref="L41">IF(K41="", "", _xlfn.IFS(K41&gt;=97, 1, K41&gt;=94, 1.25, K41&gt;=91, 1.5, K41&gt;=88, 1.75, K41&gt;=85, 2, K41&gt;=82, 2.25, K41&gt;=79, 2.5, K41&gt;=76, 2.75, K41&gt;=75, 3, K41&lt;75, 5))</f>
        <v/>
      </c>
      <c r="M41" s="7" t="str">
        <f t="shared" si="1"/>
        <v/>
      </c>
    </row>
    <row r="42" spans="1:13" x14ac:dyDescent="0.25">
      <c r="A42" s="4">
        <v>33</v>
      </c>
      <c r="B42" s="5" t="s">
        <v>48</v>
      </c>
      <c r="C42" s="37"/>
      <c r="D42" s="38"/>
      <c r="E42" s="38"/>
      <c r="F42" s="38"/>
      <c r="G42" s="39"/>
      <c r="H42" s="6"/>
      <c r="I42" s="6"/>
      <c r="J42" s="6"/>
      <c r="K42" s="7" t="str">
        <f t="shared" si="0"/>
        <v/>
      </c>
      <c r="L42" s="7" t="str" cm="1">
        <f t="array" ref="L42">IF(K42="", "", _xlfn.IFS(K42&gt;=97, 1, K42&gt;=94, 1.25, K42&gt;=91, 1.5, K42&gt;=88, 1.75, K42&gt;=85, 2, K42&gt;=82, 2.25, K42&gt;=79, 2.5, K42&gt;=76, 2.75, K42&gt;=75, 3, K42&lt;75, 5))</f>
        <v/>
      </c>
      <c r="M42" s="7" t="str">
        <f t="shared" si="1"/>
        <v/>
      </c>
    </row>
    <row r="43" spans="1:13" x14ac:dyDescent="0.25">
      <c r="A43" s="4">
        <v>34</v>
      </c>
      <c r="B43" s="5" t="s">
        <v>48</v>
      </c>
      <c r="C43" s="37"/>
      <c r="D43" s="38"/>
      <c r="E43" s="38"/>
      <c r="F43" s="38"/>
      <c r="G43" s="39"/>
      <c r="H43" s="6"/>
      <c r="I43" s="6"/>
      <c r="J43" s="6"/>
      <c r="K43" s="7" t="str">
        <f t="shared" si="0"/>
        <v/>
      </c>
      <c r="L43" s="7" t="str" cm="1">
        <f t="array" ref="L43">IF(K43="", "", _xlfn.IFS(K43&gt;=97, 1, K43&gt;=94, 1.25, K43&gt;=91, 1.5, K43&gt;=88, 1.75, K43&gt;=85, 2, K43&gt;=82, 2.25, K43&gt;=79, 2.5, K43&gt;=76, 2.75, K43&gt;=75, 3, K43&lt;75, 5))</f>
        <v/>
      </c>
      <c r="M43" s="7" t="str">
        <f t="shared" si="1"/>
        <v/>
      </c>
    </row>
    <row r="44" spans="1:13" x14ac:dyDescent="0.25">
      <c r="A44" s="4">
        <v>35</v>
      </c>
      <c r="B44" s="5" t="s">
        <v>48</v>
      </c>
      <c r="C44" s="37"/>
      <c r="D44" s="38"/>
      <c r="E44" s="38"/>
      <c r="F44" s="38"/>
      <c r="G44" s="39"/>
      <c r="H44" s="6"/>
      <c r="I44" s="6"/>
      <c r="J44" s="6"/>
      <c r="K44" s="7" t="str">
        <f t="shared" si="0"/>
        <v/>
      </c>
      <c r="L44" s="7" t="str" cm="1">
        <f t="array" ref="L44">IF(K44="", "", _xlfn.IFS(K44&gt;=97, 1, K44&gt;=94, 1.25, K44&gt;=91, 1.5, K44&gt;=88, 1.75, K44&gt;=85, 2, K44&gt;=82, 2.25, K44&gt;=79, 2.5, K44&gt;=76, 2.75, K44&gt;=75, 3, K44&lt;75, 5))</f>
        <v/>
      </c>
      <c r="M44" s="7" t="str">
        <f t="shared" si="1"/>
        <v/>
      </c>
    </row>
    <row r="45" spans="1:13" x14ac:dyDescent="0.25">
      <c r="A45" s="4">
        <v>36</v>
      </c>
      <c r="B45" s="5" t="s">
        <v>48</v>
      </c>
      <c r="C45" s="37"/>
      <c r="D45" s="38"/>
      <c r="E45" s="38"/>
      <c r="F45" s="38"/>
      <c r="G45" s="39"/>
      <c r="H45" s="6"/>
      <c r="I45" s="6"/>
      <c r="J45" s="6"/>
      <c r="K45" s="7" t="str">
        <f t="shared" si="0"/>
        <v/>
      </c>
      <c r="L45" s="7" t="str" cm="1">
        <f t="array" ref="L45">IF(K45="", "", _xlfn.IFS(K45&gt;=97, 1, K45&gt;=94, 1.25, K45&gt;=91, 1.5, K45&gt;=88, 1.75, K45&gt;=85, 2, K45&gt;=82, 2.25, K45&gt;=79, 2.5, K45&gt;=76, 2.75, K45&gt;=75, 3, K45&lt;75, 5))</f>
        <v/>
      </c>
      <c r="M45" s="7" t="str">
        <f t="shared" si="1"/>
        <v/>
      </c>
    </row>
    <row r="46" spans="1:13" x14ac:dyDescent="0.25">
      <c r="A46" s="4">
        <v>37</v>
      </c>
      <c r="B46" s="5" t="s">
        <v>48</v>
      </c>
      <c r="C46" s="37"/>
      <c r="D46" s="38"/>
      <c r="E46" s="38"/>
      <c r="F46" s="38"/>
      <c r="G46" s="39"/>
      <c r="H46" s="6"/>
      <c r="I46" s="6"/>
      <c r="J46" s="6"/>
      <c r="K46" s="7" t="str">
        <f t="shared" si="0"/>
        <v/>
      </c>
      <c r="L46" s="7" t="str" cm="1">
        <f t="array" ref="L46">IF(K46="", "", _xlfn.IFS(K46&gt;=97, 1, K46&gt;=94, 1.25, K46&gt;=91, 1.5, K46&gt;=88, 1.75, K46&gt;=85, 2, K46&gt;=82, 2.25, K46&gt;=79, 2.5, K46&gt;=76, 2.75, K46&gt;=75, 3, K46&lt;75, 5))</f>
        <v/>
      </c>
      <c r="M46" s="7" t="str">
        <f t="shared" si="1"/>
        <v/>
      </c>
    </row>
    <row r="47" spans="1:13" x14ac:dyDescent="0.25">
      <c r="A47" s="4">
        <v>38</v>
      </c>
      <c r="B47" s="5" t="s">
        <v>48</v>
      </c>
      <c r="C47" s="37"/>
      <c r="D47" s="38"/>
      <c r="E47" s="38"/>
      <c r="F47" s="38"/>
      <c r="G47" s="39"/>
      <c r="H47" s="6"/>
      <c r="I47" s="6"/>
      <c r="J47" s="6"/>
      <c r="K47" s="7" t="str">
        <f t="shared" si="0"/>
        <v/>
      </c>
      <c r="L47" s="7" t="str" cm="1">
        <f t="array" ref="L47">IF(K47="", "", _xlfn.IFS(K47&gt;=97, 1, K47&gt;=94, 1.25, K47&gt;=91, 1.5, K47&gt;=88, 1.75, K47&gt;=85, 2, K47&gt;=82, 2.25, K47&gt;=79, 2.5, K47&gt;=76, 2.75, K47&gt;=75, 3, K47&lt;75, 5))</f>
        <v/>
      </c>
      <c r="M47" s="7" t="str">
        <f t="shared" si="1"/>
        <v/>
      </c>
    </row>
    <row r="48" spans="1:13" x14ac:dyDescent="0.25">
      <c r="A48" s="4">
        <v>39</v>
      </c>
      <c r="B48" s="5" t="s">
        <v>48</v>
      </c>
      <c r="C48" s="37"/>
      <c r="D48" s="38"/>
      <c r="E48" s="38"/>
      <c r="F48" s="38"/>
      <c r="G48" s="39"/>
      <c r="H48" s="6"/>
      <c r="I48" s="6"/>
      <c r="J48" s="6"/>
      <c r="K48" s="7" t="str">
        <f t="shared" si="0"/>
        <v/>
      </c>
      <c r="L48" s="7" t="str" cm="1">
        <f t="array" ref="L48">IF(K48="", "", _xlfn.IFS(K48&gt;=97, 1, K48&gt;=94, 1.25, K48&gt;=91, 1.5, K48&gt;=88, 1.75, K48&gt;=85, 2, K48&gt;=82, 2.25, K48&gt;=79, 2.5, K48&gt;=76, 2.75, K48&gt;=75, 3, K48&lt;75, 5))</f>
        <v/>
      </c>
      <c r="M48" s="7" t="str">
        <f t="shared" si="1"/>
        <v/>
      </c>
    </row>
    <row r="49" spans="1:22" x14ac:dyDescent="0.25">
      <c r="A49" s="4">
        <v>40</v>
      </c>
      <c r="B49" s="5" t="s">
        <v>48</v>
      </c>
      <c r="C49" s="37"/>
      <c r="D49" s="38"/>
      <c r="E49" s="38"/>
      <c r="F49" s="38"/>
      <c r="G49" s="39"/>
      <c r="H49" s="6"/>
      <c r="I49" s="6"/>
      <c r="J49" s="6"/>
      <c r="K49" s="7" t="str">
        <f t="shared" si="0"/>
        <v/>
      </c>
      <c r="L49" s="7" t="str" cm="1">
        <f t="array" ref="L49">IF(K49="", "", _xlfn.IFS(K49&gt;=97, 1, K49&gt;=94, 1.25, K49&gt;=91, 1.5, K49&gt;=88, 1.75, K49&gt;=85, 2, K49&gt;=82, 2.25, K49&gt;=79, 2.5, K49&gt;=76, 2.75, K49&gt;=75, 3, K49&lt;75, 5))</f>
        <v/>
      </c>
      <c r="M49" s="7" t="str">
        <f t="shared" si="1"/>
        <v/>
      </c>
    </row>
    <row r="50" spans="1:22" x14ac:dyDescent="0.25">
      <c r="A50" s="4">
        <v>41</v>
      </c>
      <c r="B50" s="5" t="s">
        <v>48</v>
      </c>
      <c r="C50" s="37"/>
      <c r="D50" s="38"/>
      <c r="E50" s="38"/>
      <c r="F50" s="38"/>
      <c r="G50" s="39"/>
      <c r="H50" s="6"/>
      <c r="I50" s="6"/>
      <c r="J50" s="6"/>
      <c r="K50" s="7" t="str">
        <f t="shared" si="0"/>
        <v/>
      </c>
      <c r="L50" s="7" t="str" cm="1">
        <f t="array" ref="L50">IF(K50="", "", _xlfn.IFS(K50&gt;=97, 1, K50&gt;=94, 1.25, K50&gt;=91, 1.5, K50&gt;=88, 1.75, K50&gt;=85, 2, K50&gt;=82, 2.25, K50&gt;=79, 2.5, K50&gt;=76, 2.75, K50&gt;=75, 3, K50&lt;75, 5))</f>
        <v/>
      </c>
      <c r="M50" s="7" t="str">
        <f t="shared" si="1"/>
        <v/>
      </c>
    </row>
    <row r="51" spans="1:22" x14ac:dyDescent="0.25">
      <c r="A51" s="4">
        <v>42</v>
      </c>
      <c r="B51" s="5" t="s">
        <v>48</v>
      </c>
      <c r="C51" s="37"/>
      <c r="D51" s="38"/>
      <c r="E51" s="38"/>
      <c r="F51" s="38"/>
      <c r="G51" s="39"/>
      <c r="H51" s="6"/>
      <c r="I51" s="6"/>
      <c r="J51" s="6"/>
      <c r="K51" s="7" t="str">
        <f t="shared" si="0"/>
        <v/>
      </c>
      <c r="L51" s="7" t="str" cm="1">
        <f t="array" ref="L51">IF(K51="", "", _xlfn.IFS(K51&gt;=97, 1, K51&gt;=94, 1.25, K51&gt;=91, 1.5, K51&gt;=88, 1.75, K51&gt;=85, 2, K51&gt;=82, 2.25, K51&gt;=79, 2.5, K51&gt;=76, 2.75, K51&gt;=75, 3, K51&lt;75, 5))</f>
        <v/>
      </c>
      <c r="M51" s="7" t="str">
        <f t="shared" si="1"/>
        <v/>
      </c>
    </row>
    <row r="52" spans="1:22" x14ac:dyDescent="0.25">
      <c r="A52" s="4">
        <v>43</v>
      </c>
      <c r="B52" s="5" t="s">
        <v>48</v>
      </c>
      <c r="C52" s="37"/>
      <c r="D52" s="38"/>
      <c r="E52" s="38"/>
      <c r="F52" s="38"/>
      <c r="G52" s="39"/>
      <c r="H52" s="6"/>
      <c r="I52" s="6"/>
      <c r="J52" s="6"/>
      <c r="K52" s="7" t="str">
        <f t="shared" si="0"/>
        <v/>
      </c>
      <c r="L52" s="7" t="str" cm="1">
        <f t="array" ref="L52">IF(K52="", "", _xlfn.IFS(K52&gt;=97, 1, K52&gt;=94, 1.25, K52&gt;=91, 1.5, K52&gt;=88, 1.75, K52&gt;=85, 2, K52&gt;=82, 2.25, K52&gt;=79, 2.5, K52&gt;=76, 2.75, K52&gt;=75, 3, K52&lt;75, 5))</f>
        <v/>
      </c>
      <c r="M52" s="7" t="str">
        <f t="shared" si="1"/>
        <v/>
      </c>
    </row>
    <row r="53" spans="1:22" x14ac:dyDescent="0.25">
      <c r="A53" s="4">
        <v>44</v>
      </c>
      <c r="B53" s="5" t="s">
        <v>48</v>
      </c>
      <c r="C53" s="37"/>
      <c r="D53" s="38"/>
      <c r="E53" s="38"/>
      <c r="F53" s="38"/>
      <c r="G53" s="39"/>
      <c r="H53" s="6"/>
      <c r="I53" s="6"/>
      <c r="J53" s="6"/>
      <c r="K53" s="7" t="str">
        <f t="shared" si="0"/>
        <v/>
      </c>
      <c r="L53" s="7" t="str" cm="1">
        <f t="array" ref="L53">IF(K53="", "", _xlfn.IFS(K53&gt;=97, 1, K53&gt;=94, 1.25, K53&gt;=91, 1.5, K53&gt;=88, 1.75, K53&gt;=85, 2, K53&gt;=82, 2.25, K53&gt;=79, 2.5, K53&gt;=76, 2.75, K53&gt;=75, 3, K53&lt;75, 5))</f>
        <v/>
      </c>
      <c r="M53" s="7" t="str">
        <f t="shared" si="1"/>
        <v/>
      </c>
    </row>
    <row r="54" spans="1:22" x14ac:dyDescent="0.25">
      <c r="A54" s="4">
        <v>45</v>
      </c>
      <c r="B54" s="5" t="s">
        <v>48</v>
      </c>
      <c r="C54" s="37"/>
      <c r="D54" s="38"/>
      <c r="E54" s="38"/>
      <c r="F54" s="38"/>
      <c r="G54" s="39"/>
      <c r="H54" s="6"/>
      <c r="I54" s="6"/>
      <c r="J54" s="6"/>
      <c r="K54" s="7" t="str">
        <f t="shared" si="0"/>
        <v/>
      </c>
      <c r="L54" s="7" t="str" cm="1">
        <f t="array" ref="L54">IF(K54="", "", _xlfn.IFS(K54&gt;=97, 1, K54&gt;=94, 1.25, K54&gt;=91, 1.5, K54&gt;=88, 1.75, K54&gt;=85, 2, K54&gt;=82, 2.25, K54&gt;=79, 2.5, K54&gt;=76, 2.75, K54&gt;=75, 3, K54&lt;75, 5))</f>
        <v/>
      </c>
      <c r="M54" s="7" t="str">
        <f t="shared" si="1"/>
        <v/>
      </c>
    </row>
    <row r="55" spans="1:22" x14ac:dyDescent="0.25">
      <c r="A55" s="4">
        <v>46</v>
      </c>
      <c r="B55" s="5" t="s">
        <v>48</v>
      </c>
      <c r="C55" s="37"/>
      <c r="D55" s="38"/>
      <c r="E55" s="38"/>
      <c r="F55" s="38"/>
      <c r="G55" s="39"/>
      <c r="H55" s="6"/>
      <c r="I55" s="6"/>
      <c r="J55" s="6"/>
      <c r="K55" s="7" t="str">
        <f t="shared" si="0"/>
        <v/>
      </c>
      <c r="L55" s="7" t="str" cm="1">
        <f t="array" ref="L55">IF(K55="", "", _xlfn.IFS(K55&gt;=97, 1, K55&gt;=94, 1.25, K55&gt;=91, 1.5, K55&gt;=88, 1.75, K55&gt;=85, 2, K55&gt;=82, 2.25, K55&gt;=79, 2.5, K55&gt;=76, 2.75, K55&gt;=75, 3, K55&lt;75, 5))</f>
        <v/>
      </c>
      <c r="M55" s="7" t="str">
        <f t="shared" si="1"/>
        <v/>
      </c>
    </row>
    <row r="56" spans="1:22" x14ac:dyDescent="0.25">
      <c r="A56" s="4">
        <v>47</v>
      </c>
      <c r="B56" s="5" t="s">
        <v>48</v>
      </c>
      <c r="C56" s="37"/>
      <c r="D56" s="38"/>
      <c r="E56" s="38"/>
      <c r="F56" s="38"/>
      <c r="G56" s="39"/>
      <c r="H56" s="6"/>
      <c r="I56" s="6"/>
      <c r="J56" s="6"/>
      <c r="K56" s="7" t="str">
        <f t="shared" si="0"/>
        <v/>
      </c>
      <c r="L56" s="7" t="str" cm="1">
        <f t="array" ref="L56">IF(K56="", "", _xlfn.IFS(K56&gt;=97, 1, K56&gt;=94, 1.25, K56&gt;=91, 1.5, K56&gt;=88, 1.75, K56&gt;=85, 2, K56&gt;=82, 2.25, K56&gt;=79, 2.5, K56&gt;=76, 2.75, K56&gt;=75, 3, K56&lt;75, 5))</f>
        <v/>
      </c>
      <c r="M56" s="7" t="str">
        <f t="shared" si="1"/>
        <v/>
      </c>
    </row>
    <row r="57" spans="1:22" x14ac:dyDescent="0.25">
      <c r="A57" s="4">
        <v>48</v>
      </c>
      <c r="B57" s="5" t="s">
        <v>48</v>
      </c>
      <c r="C57" s="37"/>
      <c r="D57" s="38"/>
      <c r="E57" s="38"/>
      <c r="F57" s="38"/>
      <c r="G57" s="39"/>
      <c r="H57" s="6"/>
      <c r="I57" s="6"/>
      <c r="J57" s="6"/>
      <c r="K57" s="7" t="str">
        <f t="shared" si="0"/>
        <v/>
      </c>
      <c r="L57" s="7" t="str" cm="1">
        <f t="array" ref="L57">IF(K57="", "", _xlfn.IFS(K57&gt;=97, 1, K57&gt;=94, 1.25, K57&gt;=91, 1.5, K57&gt;=88, 1.75, K57&gt;=85, 2, K57&gt;=82, 2.25, K57&gt;=79, 2.5, K57&gt;=76, 2.75, K57&gt;=75, 3, K57&lt;75, 5))</f>
        <v/>
      </c>
      <c r="M57" s="7" t="str">
        <f t="shared" si="1"/>
        <v/>
      </c>
    </row>
    <row r="58" spans="1:22" x14ac:dyDescent="0.25">
      <c r="A58" s="4">
        <v>49</v>
      </c>
      <c r="B58" s="5" t="s">
        <v>48</v>
      </c>
      <c r="C58" s="37"/>
      <c r="D58" s="38"/>
      <c r="E58" s="38"/>
      <c r="F58" s="38"/>
      <c r="G58" s="39"/>
      <c r="H58" s="6"/>
      <c r="I58" s="6"/>
      <c r="J58" s="6"/>
      <c r="K58" s="7" t="str">
        <f t="shared" si="0"/>
        <v/>
      </c>
      <c r="L58" s="7" t="str" cm="1">
        <f t="array" ref="L58">IF(K58="", "", _xlfn.IFS(K58&gt;=97, 1, K58&gt;=94, 1.25, K58&gt;=91, 1.5, K58&gt;=88, 1.75, K58&gt;=85, 2, K58&gt;=82, 2.25, K58&gt;=79, 2.5, K58&gt;=76, 2.75, K58&gt;=75, 3, K58&lt;75, 5))</f>
        <v/>
      </c>
      <c r="M58" s="7" t="str">
        <f t="shared" si="1"/>
        <v/>
      </c>
    </row>
    <row r="59" spans="1:22" x14ac:dyDescent="0.25">
      <c r="A59" s="8">
        <v>50</v>
      </c>
      <c r="B59" s="5" t="s">
        <v>48</v>
      </c>
      <c r="C59" s="37"/>
      <c r="D59" s="38"/>
      <c r="E59" s="38"/>
      <c r="F59" s="38"/>
      <c r="G59" s="39"/>
      <c r="H59" s="6"/>
      <c r="I59" s="6"/>
      <c r="J59" s="6"/>
      <c r="K59" s="7" t="str">
        <f t="shared" si="0"/>
        <v/>
      </c>
      <c r="L59" s="7" t="str" cm="1">
        <f t="array" ref="L59">IF(K59="", "", _xlfn.IFS(K59&gt;=97, 1, K59&gt;=94, 1.25, K59&gt;=91, 1.5, K59&gt;=88, 1.75, K59&gt;=85, 2, K59&gt;=82, 2.25, K59&gt;=79, 2.5, K59&gt;=76, 2.75, K59&gt;=75, 3, K59&lt;75, 5))</f>
        <v/>
      </c>
      <c r="M59" s="7" t="str">
        <f t="shared" si="1"/>
        <v/>
      </c>
    </row>
    <row r="60" spans="1:22" x14ac:dyDescent="0.25">
      <c r="A60" s="9"/>
      <c r="B60" s="9"/>
      <c r="C60" s="10"/>
      <c r="D60" s="10"/>
      <c r="E60" s="10"/>
      <c r="F60" s="10"/>
      <c r="G60" s="10"/>
      <c r="H60" s="11"/>
      <c r="I60" s="11"/>
      <c r="J60" s="11"/>
      <c r="K60" s="12"/>
      <c r="L60" s="13"/>
    </row>
    <row r="61" spans="1:22" x14ac:dyDescent="0.25">
      <c r="A61" s="14"/>
      <c r="B61" s="14"/>
      <c r="C61" s="15"/>
      <c r="D61" s="16"/>
      <c r="E61" s="16"/>
      <c r="F61" s="16"/>
      <c r="G61" s="17" t="s">
        <v>21</v>
      </c>
      <c r="H61" s="18"/>
      <c r="I61" s="18"/>
      <c r="J61" s="18"/>
      <c r="K61" s="17" t="s">
        <v>22</v>
      </c>
      <c r="L61" s="19"/>
    </row>
    <row r="62" spans="1:22" x14ac:dyDescent="0.25">
      <c r="A62" s="20"/>
      <c r="B62" s="20"/>
      <c r="C62" s="21"/>
      <c r="D62" s="22"/>
      <c r="E62" s="22"/>
      <c r="F62" s="16"/>
      <c r="G62" s="16"/>
      <c r="H62" s="18"/>
      <c r="I62" s="18"/>
      <c r="J62" s="18"/>
      <c r="K62" s="23"/>
      <c r="L62" s="19"/>
      <c r="S62" s="36"/>
      <c r="T62" s="36"/>
      <c r="U62" s="36"/>
    </row>
    <row r="63" spans="1:22" x14ac:dyDescent="0.25">
      <c r="A63" s="24"/>
      <c r="B63" s="24"/>
      <c r="C63" s="25"/>
      <c r="D63" s="25"/>
      <c r="E63" s="26"/>
      <c r="F63" s="33"/>
      <c r="G63" s="33"/>
      <c r="H63" s="33"/>
      <c r="I63" s="33"/>
      <c r="J63" s="27"/>
      <c r="K63" s="34"/>
      <c r="L63" s="34"/>
      <c r="M63" s="34"/>
      <c r="S63" s="35"/>
      <c r="T63" s="35"/>
      <c r="U63" s="35"/>
      <c r="V63" s="35"/>
    </row>
    <row r="64" spans="1:22" x14ac:dyDescent="0.25">
      <c r="A64" s="24"/>
      <c r="B64" s="24"/>
      <c r="C64" s="25"/>
      <c r="D64" s="25"/>
      <c r="E64" s="26"/>
      <c r="F64" s="30" t="s">
        <v>23</v>
      </c>
      <c r="G64" s="30"/>
      <c r="H64" s="30"/>
      <c r="I64" s="30"/>
      <c r="J64" s="18"/>
      <c r="K64" s="31" t="s">
        <v>24</v>
      </c>
      <c r="L64" s="31"/>
      <c r="M64" s="31"/>
    </row>
    <row r="65" spans="1:13" x14ac:dyDescent="0.25">
      <c r="A65" s="24"/>
      <c r="B65" s="24"/>
      <c r="C65" s="25"/>
      <c r="D65" s="25"/>
      <c r="E65" s="26"/>
      <c r="F65" s="16"/>
      <c r="H65" s="18"/>
      <c r="I65" s="18"/>
      <c r="J65" s="18"/>
      <c r="K65" s="23"/>
      <c r="L65" s="19"/>
    </row>
    <row r="66" spans="1:13" x14ac:dyDescent="0.25">
      <c r="A66" s="24"/>
      <c r="B66" s="24"/>
      <c r="C66" s="25"/>
      <c r="D66" s="25"/>
      <c r="E66" s="26"/>
      <c r="F66" s="16"/>
      <c r="G66" s="16"/>
      <c r="H66" s="18"/>
      <c r="I66" s="18"/>
      <c r="J66" s="18"/>
      <c r="K66" s="23"/>
      <c r="L66" s="19"/>
    </row>
    <row r="67" spans="1:13" x14ac:dyDescent="0.25">
      <c r="A67" s="24"/>
      <c r="B67" s="24"/>
      <c r="C67" s="25"/>
      <c r="D67" s="25"/>
      <c r="E67" s="26"/>
      <c r="F67" s="16"/>
      <c r="G67" s="17" t="s">
        <v>25</v>
      </c>
      <c r="H67" s="18"/>
      <c r="I67" s="18"/>
      <c r="J67" s="18"/>
      <c r="K67" s="17" t="s">
        <v>26</v>
      </c>
      <c r="L67" s="19"/>
    </row>
    <row r="68" spans="1:13" x14ac:dyDescent="0.25">
      <c r="A68" s="24"/>
      <c r="B68" s="24"/>
      <c r="C68" s="25"/>
      <c r="D68" s="25"/>
      <c r="E68" s="26"/>
      <c r="F68" s="16"/>
      <c r="G68" s="16"/>
      <c r="H68" s="18"/>
      <c r="I68" s="18"/>
      <c r="J68" s="18"/>
      <c r="K68" s="23"/>
      <c r="L68" s="19"/>
    </row>
    <row r="69" spans="1:13" x14ac:dyDescent="0.25">
      <c r="A69" s="24"/>
      <c r="B69" s="24"/>
      <c r="C69" s="25"/>
      <c r="D69" s="25"/>
      <c r="E69" s="26"/>
      <c r="F69" s="33"/>
      <c r="G69" s="33"/>
      <c r="H69" s="33"/>
      <c r="I69" s="33"/>
      <c r="J69" s="18"/>
      <c r="K69" s="34"/>
      <c r="L69" s="34"/>
      <c r="M69" s="34"/>
    </row>
    <row r="70" spans="1:13" x14ac:dyDescent="0.25">
      <c r="A70" s="24"/>
      <c r="B70" s="24"/>
      <c r="C70" s="25"/>
      <c r="D70" s="25"/>
      <c r="E70" s="26"/>
      <c r="F70" s="30" t="s">
        <v>27</v>
      </c>
      <c r="G70" s="30"/>
      <c r="H70" s="30"/>
      <c r="I70" s="30"/>
      <c r="K70" s="31" t="s">
        <v>28</v>
      </c>
      <c r="L70" s="31"/>
      <c r="M70" s="31"/>
    </row>
    <row r="71" spans="1:13" x14ac:dyDescent="0.25">
      <c r="A71" s="24"/>
      <c r="B71" s="24"/>
      <c r="C71" s="25"/>
      <c r="D71" s="25"/>
      <c r="E71" s="26"/>
      <c r="F71" s="16"/>
      <c r="G71" s="16"/>
    </row>
    <row r="72" spans="1:13" x14ac:dyDescent="0.25">
      <c r="A72" s="24"/>
      <c r="B72" s="24"/>
      <c r="C72" s="25"/>
      <c r="D72" s="25"/>
      <c r="E72" s="26"/>
      <c r="F72" s="16"/>
      <c r="G72" s="16"/>
      <c r="I72" s="32" t="s">
        <v>49</v>
      </c>
      <c r="J72" s="32"/>
      <c r="K72" s="32"/>
    </row>
    <row r="73" spans="1:13" x14ac:dyDescent="0.25">
      <c r="A73" s="24"/>
      <c r="B73" s="24"/>
      <c r="C73" s="28"/>
      <c r="D73" s="28"/>
      <c r="E73" s="29"/>
    </row>
    <row r="74" spans="1:13" x14ac:dyDescent="0.25">
      <c r="A74" s="24"/>
      <c r="B74" s="24"/>
      <c r="C74" s="28"/>
      <c r="D74" s="28"/>
      <c r="E74" s="29"/>
    </row>
    <row r="75" spans="1:13" hidden="1" x14ac:dyDescent="0.25">
      <c r="A75" s="24"/>
      <c r="B75" s="24"/>
      <c r="C75" s="28"/>
      <c r="D75" s="28"/>
      <c r="E75" s="29"/>
    </row>
  </sheetData>
  <mergeCells count="91">
    <mergeCell ref="A3:D3"/>
    <mergeCell ref="E3:G3"/>
    <mergeCell ref="H3:J3"/>
    <mergeCell ref="K3:M3"/>
    <mergeCell ref="A1:M1"/>
    <mergeCell ref="A2:D2"/>
    <mergeCell ref="E2:G2"/>
    <mergeCell ref="H2:J2"/>
    <mergeCell ref="K2:M2"/>
    <mergeCell ref="A4:D4"/>
    <mergeCell ref="E4:G4"/>
    <mergeCell ref="H4:J4"/>
    <mergeCell ref="K4:M4"/>
    <mergeCell ref="A5:D5"/>
    <mergeCell ref="E5:G5"/>
    <mergeCell ref="H5:J5"/>
    <mergeCell ref="K5:M5"/>
    <mergeCell ref="C12:G12"/>
    <mergeCell ref="A6:D6"/>
    <mergeCell ref="E6:G6"/>
    <mergeCell ref="H6:J6"/>
    <mergeCell ref="K6:M6"/>
    <mergeCell ref="A8:A9"/>
    <mergeCell ref="B8:B9"/>
    <mergeCell ref="C8:G9"/>
    <mergeCell ref="H8:H9"/>
    <mergeCell ref="I8:I9"/>
    <mergeCell ref="J8:J9"/>
    <mergeCell ref="K8:K9"/>
    <mergeCell ref="L8:L9"/>
    <mergeCell ref="M8:M9"/>
    <mergeCell ref="C10:G10"/>
    <mergeCell ref="C11:G11"/>
    <mergeCell ref="C24:G24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36:G36"/>
    <mergeCell ref="C25:G25"/>
    <mergeCell ref="C26:G26"/>
    <mergeCell ref="C27:G27"/>
    <mergeCell ref="C28:G28"/>
    <mergeCell ref="C29:G29"/>
    <mergeCell ref="C30:G30"/>
    <mergeCell ref="C31:G31"/>
    <mergeCell ref="C32:G32"/>
    <mergeCell ref="C33:G33"/>
    <mergeCell ref="C34:G34"/>
    <mergeCell ref="C35:G35"/>
    <mergeCell ref="C48:G48"/>
    <mergeCell ref="C37:G37"/>
    <mergeCell ref="C38:G38"/>
    <mergeCell ref="C39:G39"/>
    <mergeCell ref="C40:G40"/>
    <mergeCell ref="C41:G41"/>
    <mergeCell ref="C42:G42"/>
    <mergeCell ref="C43:G43"/>
    <mergeCell ref="C44:G44"/>
    <mergeCell ref="C45:G45"/>
    <mergeCell ref="C46:G46"/>
    <mergeCell ref="C47:G47"/>
    <mergeCell ref="S62:U62"/>
    <mergeCell ref="C49:G49"/>
    <mergeCell ref="C50:G50"/>
    <mergeCell ref="C51:G51"/>
    <mergeCell ref="C52:G52"/>
    <mergeCell ref="C53:G53"/>
    <mergeCell ref="C54:G54"/>
    <mergeCell ref="C55:G55"/>
    <mergeCell ref="C56:G56"/>
    <mergeCell ref="C57:G57"/>
    <mergeCell ref="C58:G58"/>
    <mergeCell ref="C59:G59"/>
    <mergeCell ref="S63:V63"/>
    <mergeCell ref="F64:I64"/>
    <mergeCell ref="K64:M64"/>
    <mergeCell ref="F69:I69"/>
    <mergeCell ref="K69:M69"/>
    <mergeCell ref="F70:I70"/>
    <mergeCell ref="K70:M70"/>
    <mergeCell ref="I72:K72"/>
    <mergeCell ref="F63:I63"/>
    <mergeCell ref="K63:M63"/>
  </mergeCells>
  <conditionalFormatting sqref="C10:G59 C60">
    <cfRule type="containsText" dxfId="11" priority="7" operator="containsText" text="FINISHED W/ MARKS">
      <formula>NOT(ISERROR(SEARCH("FINISHED W/ MARKS",C10)))</formula>
    </cfRule>
    <cfRule type="containsText" dxfId="10" priority="8" operator="containsText" text="TRANSFERRED ">
      <formula>NOT(ISERROR(SEARCH("TRANSFERRED ",C10)))</formula>
    </cfRule>
    <cfRule type="containsText" dxfId="9" priority="9" operator="containsText" text="PENDING ENROLLMENT">
      <formula>NOT(ISERROR(SEARCH("PENDING ENROLLMENT",C10)))</formula>
    </cfRule>
    <cfRule type="containsText" dxfId="8" priority="10" operator="containsText" text="UNENROLLED">
      <formula>NOT(ISERROR(SEARCH("UNENROLLED",C10)))</formula>
    </cfRule>
    <cfRule type="containsText" dxfId="7" priority="11" operator="containsText" text="NOT ENROLLED">
      <formula>NOT(ISERROR(SEARCH("NOT ENROLLED",C10)))</formula>
    </cfRule>
  </conditionalFormatting>
  <conditionalFormatting sqref="E2:G6 K2:M6">
    <cfRule type="containsText" dxfId="6" priority="4" operator="containsText" text="INFOSHEET NOT CONFIGURED.">
      <formula>NOT(ISERROR(SEARCH("INFOSHEET NOT CONFIGURED.",E2)))</formula>
    </cfRule>
    <cfRule type="containsText" dxfId="5" priority="5" operator="containsText" text="SET UP NOT CONFIGURED.">
      <formula>NOT(ISERROR(SEARCH("SET UP NOT CONFIGURED.",E2)))</formula>
    </cfRule>
    <cfRule type="containsText" dxfId="4" priority="6" operator="containsText" text="SEUP NOT CONFIGURED.">
      <formula>NOT(ISERROR(SEARCH("SEUP NOT CONFIGURED.",E2)))</formula>
    </cfRule>
  </conditionalFormatting>
  <conditionalFormatting sqref="L60:L62 L65:L68">
    <cfRule type="cellIs" dxfId="3" priority="12" operator="equal">
      <formula>"NG"</formula>
    </cfRule>
    <cfRule type="cellIs" dxfId="2" priority="13" operator="greaterThan">
      <formula>3</formula>
    </cfRule>
  </conditionalFormatting>
  <conditionalFormatting sqref="M10:M59">
    <cfRule type="cellIs" dxfId="1" priority="1" operator="equal">
      <formula>"PASSED"</formula>
    </cfRule>
    <cfRule type="cellIs" dxfId="0" priority="2" operator="equal">
      <formula>"FAILED"</formula>
    </cfRule>
  </conditionalFormatting>
  <pageMargins left="0.7" right="0.7" top="1.078125" bottom="0.75" header="0.3" footer="0.3"/>
  <pageSetup paperSize="5" scale="75" fitToHeight="0" orientation="portrait" r:id="rId1"/>
  <headerFooter>
    <oddHeader>&amp;C&amp;G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Lindo</dc:creator>
  <cp:lastModifiedBy>DJ</cp:lastModifiedBy>
  <cp:lastPrinted>2026-03-30T12:37:39Z</cp:lastPrinted>
  <dcterms:created xsi:type="dcterms:W3CDTF">2015-06-05T18:17:20Z</dcterms:created>
  <dcterms:modified xsi:type="dcterms:W3CDTF">2026-03-30T12:37:40Z</dcterms:modified>
</cp:coreProperties>
</file>